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Meccanica" sheetId="2" state="visible" r:id="rId4"/>
    <sheet name="Parametri" sheetId="3" state="visible" r:id="rId5"/>
  </sheets>
  <definedNames>
    <definedName function="false" hidden="true" localSheetId="0" name="_xlnm._FilterDatabase" vbProcedure="false">BOM!$A$4:$O$52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<sst xmlns="http://schemas.openxmlformats.org/spreadsheetml/2006/main" count="513" uniqueCount="268">
  <si>
    <t xml:space="preserve">BOM con prezzi — Carico attivo 60 V / 20 A / 300 W, 4 canali (controllo WiFi Wemos D1 mini Pro) — rev 0.2</t>
  </si>
  <si>
    <t xml:space="preserve">Prezzi IVA esclusa, a quantità singola. Celle blu = valori inseriti a mano; cambi e numero di schede nel foglio Parametri.</t>
  </si>
  <si>
    <t xml:space="preserve">Categoria</t>
  </si>
  <si>
    <t xml:space="preserve">Riferimenti</t>
  </si>
  <si>
    <t xml:space="preserve">Q.tà/scheda</t>
  </si>
  <si>
    <t xml:space="preserve">Valore</t>
  </si>
  <si>
    <t xml:space="preserve">Package</t>
  </si>
  <si>
    <t xml:space="preserve">MPN proposto</t>
  </si>
  <si>
    <t xml:space="preserve">Distributore</t>
  </si>
  <si>
    <t xml:space="preserve">Prezzo unit.</t>
  </si>
  <si>
    <t xml:space="preserve">Valuta</t>
  </si>
  <si>
    <t xml:space="preserve">Prezzo unit. €</t>
  </si>
  <si>
    <t xml:space="preserve">Q.tà totale</t>
  </si>
  <si>
    <t xml:space="preserve">Totale €</t>
  </si>
  <si>
    <t xml:space="preserve">Stato prezzo</t>
  </si>
  <si>
    <t xml:space="preserve">Fonte</t>
  </si>
  <si>
    <t xml:space="preserve">Note</t>
  </si>
  <si>
    <t xml:space="preserve">Condensatori</t>
  </si>
  <si>
    <t xml:space="preserve">C1</t>
  </si>
  <si>
    <t xml:space="preserve">100n 100V X7R</t>
  </si>
  <si>
    <t xml:space="preserve">1206</t>
  </si>
  <si>
    <t xml:space="preserve">CC1206KKX7R0BB104 (Yageo)</t>
  </si>
  <si>
    <t xml:space="preserve">Comet</t>
  </si>
  <si>
    <t xml:space="preserve">USD</t>
  </si>
  <si>
    <t xml:space="preserve">verificato</t>
  </si>
  <si>
    <t xml:space="preserve">https://store.comet.bg/en/Catalogue/Product/37095</t>
  </si>
  <si>
    <t xml:space="preserve">Prezzo a 10 pz</t>
  </si>
  <si>
    <t xml:space="preserve">C2</t>
  </si>
  <si>
    <t xml:space="preserve">10n 100V X7R</t>
  </si>
  <si>
    <t xml:space="preserve">generico X7R 100V</t>
  </si>
  <si>
    <t xml:space="preserve">LCSC</t>
  </si>
  <si>
    <t xml:space="preserve">stima</t>
  </si>
  <si>
    <t xml:space="preserve">C3,C4,C7,C10,C13,C16,C20,C22,C23,C25-C27,C29</t>
  </si>
  <si>
    <t xml:space="preserve">100n</t>
  </si>
  <si>
    <t xml:space="preserve">1206B104K500CT (Walsin) o equiv.</t>
  </si>
  <si>
    <t xml:space="preserve">https://www.lcsc.com/product-detail/C93194.html</t>
  </si>
  <si>
    <t xml:space="preserve">Usare 100 V dove il nodo vede VLOAD</t>
  </si>
  <si>
    <t xml:space="preserve">C5,C8,C11,C14</t>
  </si>
  <si>
    <t xml:space="preserve">10n C0G</t>
  </si>
  <si>
    <t xml:space="preserve">generico C0G/NP0 50V</t>
  </si>
  <si>
    <t xml:space="preserve">Filtro setpoint 16,6 kHz (rev 0.2)</t>
  </si>
  <si>
    <t xml:space="preserve">C6,C9,C12,C15</t>
  </si>
  <si>
    <t xml:space="preserve">1n C0G</t>
  </si>
  <si>
    <t xml:space="preserve">Compensazione loop (rev 0.2)</t>
  </si>
  <si>
    <t xml:space="preserve">C17,C18,C33,C34</t>
  </si>
  <si>
    <t xml:space="preserve">100n 50V</t>
  </si>
  <si>
    <t xml:space="preserve">1206B104K500CT (Walsin)</t>
  </si>
  <si>
    <t xml:space="preserve">C19,C21,C28,C31,C32</t>
  </si>
  <si>
    <t xml:space="preserve">10u 25V</t>
  </si>
  <si>
    <t xml:space="preserve">10u 50V X7R 1206</t>
  </si>
  <si>
    <t xml:space="preserve">https://www.lcsc.com/category/1142.html</t>
  </si>
  <si>
    <t xml:space="preserve">Prezzo a 10 pz, parte da 50 V</t>
  </si>
  <si>
    <t xml:space="preserve">C24,C30</t>
  </si>
  <si>
    <t xml:space="preserve">1u</t>
  </si>
  <si>
    <t xml:space="preserve">generico X7R 50V</t>
  </si>
  <si>
    <t xml:space="preserve">C35,C36</t>
  </si>
  <si>
    <t xml:space="preserve">22u 10V</t>
  </si>
  <si>
    <t xml:space="preserve">generico X5R/X7R 10V</t>
  </si>
  <si>
    <t xml:space="preserve">Uscita buck</t>
  </si>
  <si>
    <t xml:space="preserve">Diodi</t>
  </si>
  <si>
    <t xml:space="preserve">D1</t>
  </si>
  <si>
    <t xml:space="preserve">Schottky 100V 30A</t>
  </si>
  <si>
    <t xml:space="preserve">TO-263</t>
  </si>
  <si>
    <t xml:space="preserve">VS-30CTQ100SPbF</t>
  </si>
  <si>
    <t xml:space="preserve">https://www.lcsc.com/product-image/C145332.html</t>
  </si>
  <si>
    <t xml:space="preserve">Stock molto basso</t>
  </si>
  <si>
    <t xml:space="preserve">D2</t>
  </si>
  <si>
    <t xml:space="preserve">TVS 64V 1500W</t>
  </si>
  <si>
    <t xml:space="preserve">SMC</t>
  </si>
  <si>
    <t xml:space="preserve">SMCJ64CA</t>
  </si>
  <si>
    <t xml:space="preserve">D3</t>
  </si>
  <si>
    <t xml:space="preserve">TVS 64V 400W</t>
  </si>
  <si>
    <t xml:space="preserve">SMA</t>
  </si>
  <si>
    <t xml:space="preserve">SMAJ64CA</t>
  </si>
  <si>
    <t xml:space="preserve">D4</t>
  </si>
  <si>
    <t xml:space="preserve">Schottky 40V 3A</t>
  </si>
  <si>
    <t xml:space="preserve">SS34</t>
  </si>
  <si>
    <t xml:space="preserve">D5</t>
  </si>
  <si>
    <t xml:space="preserve">LED verde</t>
  </si>
  <si>
    <t xml:space="preserve">generico</t>
  </si>
  <si>
    <t xml:space="preserve">Protezioni</t>
  </si>
  <si>
    <t xml:space="preserve">F1</t>
  </si>
  <si>
    <t xml:space="preserve">Fusibile ATO 25A</t>
  </si>
  <si>
    <t xml:space="preserve">lamellare</t>
  </si>
  <si>
    <t xml:space="preserve">0287025.PXCN (Littelfuse)</t>
  </si>
  <si>
    <t xml:space="preserve">RS UK</t>
  </si>
  <si>
    <t xml:space="preserve">GBP</t>
  </si>
  <si>
    <t xml:space="preserve">https://uk.rs-online.com/web/p/car-fuses/7874154</t>
  </si>
  <si>
    <t xml:space="preserve">Confezione da 10</t>
  </si>
  <si>
    <t xml:space="preserve">F1 (portafusibile)</t>
  </si>
  <si>
    <t xml:space="preserve">Portafusibile ATO PCB</t>
  </si>
  <si>
    <t xml:space="preserve">THT 2 pin</t>
  </si>
  <si>
    <t xml:space="preserve">Littelfuse/Pudenz 2-pin</t>
  </si>
  <si>
    <t xml:space="preserve">EUR</t>
  </si>
  <si>
    <t xml:space="preserve">da quotare</t>
  </si>
  <si>
    <t xml:space="preserve">Verificare MPN contro footprint</t>
  </si>
  <si>
    <t xml:space="preserve">F2</t>
  </si>
  <si>
    <t xml:space="preserve">PTC 1,5A hold</t>
  </si>
  <si>
    <t xml:space="preserve">PTC 1206 hold 1,5 A</t>
  </si>
  <si>
    <t xml:space="preserve">Alzato da 500 mA: ora alimenta buck WiFi + ventola</t>
  </si>
  <si>
    <t xml:space="preserve">Connettori</t>
  </si>
  <si>
    <t xml:space="preserve">J1,J2</t>
  </si>
  <si>
    <t xml:space="preserve">Morsetto M5 (bullone)</t>
  </si>
  <si>
    <t xml:space="preserve">foro 5,3 mm</t>
  </si>
  <si>
    <t xml:space="preserve">Bullone M5 inox + 2 dadi + rondelle</t>
  </si>
  <si>
    <t xml:space="preserve">Ferramenta</t>
  </si>
  <si>
    <t xml:space="preserve">Alternativa: Würth REDCUBE M5 7461383 (~2,50 USD, footprint da cambiare)</t>
  </si>
  <si>
    <t xml:space="preserve">J3</t>
  </si>
  <si>
    <t xml:space="preserve">Morsetto 2 vie 5 mm</t>
  </si>
  <si>
    <t xml:space="preserve">THT</t>
  </si>
  <si>
    <t xml:space="preserve">Phoenix MKDS 1,5/2 (1715022)</t>
  </si>
  <si>
    <t xml:space="preserve">J4,J5</t>
  </si>
  <si>
    <t xml:space="preserve">Strip femmina 1x8 2,54</t>
  </si>
  <si>
    <t xml:space="preserve">Zoccolo per il Wemos</t>
  </si>
  <si>
    <t xml:space="preserve">J6,J7</t>
  </si>
  <si>
    <t xml:space="preserve">Molex KK 4 vie</t>
  </si>
  <si>
    <t xml:space="preserve">22-27-2041</t>
  </si>
  <si>
    <t xml:space="preserve">J8</t>
  </si>
  <si>
    <t xml:space="preserve">Jack DC</t>
  </si>
  <si>
    <t xml:space="preserve">PJ-102AH (CUI)</t>
  </si>
  <si>
    <t xml:space="preserve">Modulo WiFi</t>
  </si>
  <si>
    <t xml:space="preserve">(su J4/J5)</t>
  </si>
  <si>
    <t xml:space="preserve">Wemos LOLIN D1 mini Pro V2</t>
  </si>
  <si>
    <t xml:space="preserve">modulo</t>
  </si>
  <si>
    <t xml:space="preserve">LOLIN D1 mini Pro V2 (ESP8266, 16 MB, U.FL)</t>
  </si>
  <si>
    <t xml:space="preserve">TinyTronics</t>
  </si>
  <si>
    <t xml:space="preserve">https://www.tinytronics.nl/shop/nl/communicatie/wi-fi/wemos-lolin-d1-mini-pro-v2-esp8266-ch340c</t>
  </si>
  <si>
    <t xml:space="preserve">IVA esclusa; cloni a pochi euro su AliExpress</t>
  </si>
  <si>
    <t xml:space="preserve">Magnetici</t>
  </si>
  <si>
    <t xml:space="preserve">L1</t>
  </si>
  <si>
    <t xml:space="preserve">6,8 µH</t>
  </si>
  <si>
    <t xml:space="preserve">4x4 mm</t>
  </si>
  <si>
    <t xml:space="preserve">SRN4018-6R8M (Bourns)</t>
  </si>
  <si>
    <t xml:space="preserve">Transistor</t>
  </si>
  <si>
    <t xml:space="preserve">Q1,Q2,Q3,Q4</t>
  </si>
  <si>
    <t xml:space="preserve">MOSFET Linear L2 100V 75A</t>
  </si>
  <si>
    <t xml:space="preserve">TO-247</t>
  </si>
  <si>
    <t xml:space="preserve">IXTH75N10L2</t>
  </si>
  <si>
    <t xml:space="preserve">DigiKey</t>
  </si>
  <si>
    <t xml:space="preserve">https://www.findchips.com/search/H75N1</t>
  </si>
  <si>
    <t xml:space="preserve">1 pz; 10,93 USD da 30 pz. Mouser 20,99 USD</t>
  </si>
  <si>
    <t xml:space="preserve">Q5,Q6,Q7</t>
  </si>
  <si>
    <t xml:space="preserve">Dual N-MOSFET</t>
  </si>
  <si>
    <t xml:space="preserve">SOIC-8</t>
  </si>
  <si>
    <t xml:space="preserve">FDS9926A</t>
  </si>
  <si>
    <t xml:space="preserve">Resistori</t>
  </si>
  <si>
    <t xml:space="preserve">R1,R15,R21,R27,R33,R44</t>
  </si>
  <si>
    <t xml:space="preserve">100R 1%</t>
  </si>
  <si>
    <t xml:space="preserve">R2,R5,R8,R16,R22,R28,R34,R39,R41,R43,R46</t>
  </si>
  <si>
    <t xml:space="preserve">10k 1%</t>
  </si>
  <si>
    <t xml:space="preserve">R3</t>
  </si>
  <si>
    <t xml:space="preserve">10R 1%</t>
  </si>
  <si>
    <t xml:space="preserve">R4,R14,R20,R26,R32,R36,R40</t>
  </si>
  <si>
    <t xml:space="preserve">1k 1%</t>
  </si>
  <si>
    <t xml:space="preserve">R6,R9</t>
  </si>
  <si>
    <t xml:space="preserve">1M 1%</t>
  </si>
  <si>
    <t xml:space="preserve">R7</t>
  </si>
  <si>
    <t xml:space="preserve">249k 1%</t>
  </si>
  <si>
    <t xml:space="preserve">generico (≥200 V)</t>
  </si>
  <si>
    <t xml:space="preserve">R10,R42,R45,R50</t>
  </si>
  <si>
    <t xml:space="preserve">100k 1%</t>
  </si>
  <si>
    <t xml:space="preserve">R11</t>
  </si>
  <si>
    <t xml:space="preserve">9k31 1%</t>
  </si>
  <si>
    <t xml:space="preserve">R12,R18,R24,R30</t>
  </si>
  <si>
    <t xml:space="preserve">24k 0,1%</t>
  </si>
  <si>
    <t xml:space="preserve">thin film 0,1% 25 ppm</t>
  </si>
  <si>
    <t xml:space="preserve">Partitore 25:1</t>
  </si>
  <si>
    <t xml:space="preserve">R13,R19,R25,R31</t>
  </si>
  <si>
    <t xml:space="preserve">1k 0,1%</t>
  </si>
  <si>
    <t xml:space="preserve">R17,R23,R29,R35</t>
  </si>
  <si>
    <t xml:space="preserve">Shunt 20 mΩ Kelvin</t>
  </si>
  <si>
    <t xml:space="preserve">2512 4T</t>
  </si>
  <si>
    <t xml:space="preserve">WSK2512R0200FEA (Vishay)</t>
  </si>
  <si>
    <t xml:space="preserve">element14 CN</t>
  </si>
  <si>
    <t xml:space="preserve">CNY</t>
  </si>
  <si>
    <t xml:space="preserve">https://www.element14.cn/en-CN/vishay/wsk2512r0200fea/current-sense-res-0r02-1-1-w-2512/dp/1107431</t>
  </si>
  <si>
    <t xml:space="preserve">Prezzo a 5 pz, IVA esclusa</t>
  </si>
  <si>
    <t xml:space="preserve">R37,R38</t>
  </si>
  <si>
    <t xml:space="preserve">4k7 1%</t>
  </si>
  <si>
    <t xml:space="preserve">R47,R48</t>
  </si>
  <si>
    <t xml:space="preserve">10k 0,1%</t>
  </si>
  <si>
    <t xml:space="preserve">thin film 0,1%</t>
  </si>
  <si>
    <t xml:space="preserve">R49</t>
  </si>
  <si>
    <t xml:space="preserve">1k5 1%</t>
  </si>
  <si>
    <t xml:space="preserve">Integrati</t>
  </si>
  <si>
    <t xml:space="preserve">U1</t>
  </si>
  <si>
    <t xml:space="preserve">Riferimento shunt</t>
  </si>
  <si>
    <t xml:space="preserve">TL431IDR</t>
  </si>
  <si>
    <t xml:space="preserve">U2</t>
  </si>
  <si>
    <t xml:space="preserve">Comparatore doppio</t>
  </si>
  <si>
    <t xml:space="preserve">LM393DR</t>
  </si>
  <si>
    <t xml:space="preserve">U3,U6</t>
  </si>
  <si>
    <t xml:space="preserve">Op-amp doppio 36V</t>
  </si>
  <si>
    <t xml:space="preserve">OPA2196IDR</t>
  </si>
  <si>
    <t xml:space="preserve">Mouser</t>
  </si>
  <si>
    <t xml:space="preserve">https://www.flux.ai/lcsc/opa2196idr.md</t>
  </si>
  <si>
    <t xml:space="preserve">U4,U5,U7,U8</t>
  </si>
  <si>
    <t xml:space="preserve">Monitor I/V/P 20 bit</t>
  </si>
  <si>
    <t xml:space="preserve">MSOP-10</t>
  </si>
  <si>
    <t xml:space="preserve">INA228AIDGSR</t>
  </si>
  <si>
    <t xml:space="preserve">https://www.digikey.com/en/products/detail/texas-instruments/INA228AIDGST/13691047</t>
  </si>
  <si>
    <t xml:space="preserve">Prezzo indicato come sostituto consigliato della variante DGST</t>
  </si>
  <si>
    <t xml:space="preserve">U9</t>
  </si>
  <si>
    <t xml:space="preserve">DAC 4ch 16 bit</t>
  </si>
  <si>
    <t xml:space="preserve">TSSOP-16</t>
  </si>
  <si>
    <t xml:space="preserve">DAC8565IAPW</t>
  </si>
  <si>
    <t xml:space="preserve">https://www.electronicsdatasheets.com/manufacturers/texas-instruments/parts/dac8565</t>
  </si>
  <si>
    <t xml:space="preserve">LCSC: IAPWR 11,80 USD ma NRND</t>
  </si>
  <si>
    <t xml:space="preserve">U10</t>
  </si>
  <si>
    <t xml:space="preserve">LDO 5V 100mA (analogico)</t>
  </si>
  <si>
    <t xml:space="preserve">L78L05ACD13TR</t>
  </si>
  <si>
    <t xml:space="preserve">U11</t>
  </si>
  <si>
    <t xml:space="preserve">Buck 5V 2A</t>
  </si>
  <si>
    <t xml:space="preserve">TSOT-23-6</t>
  </si>
  <si>
    <t xml:space="preserve">AP63205WU-7 (Diodes)</t>
  </si>
  <si>
    <t xml:space="preserve">https://www.oemstrade.com/search/ap63205wu-7</t>
  </si>
  <si>
    <t xml:space="preserve">PCB</t>
  </si>
  <si>
    <t xml:space="preserve">2 strati, 2 oz, FR4 1,6 mm</t>
  </si>
  <si>
    <t xml:space="preserve">—</t>
  </si>
  <si>
    <t xml:space="preserve">JLCPCB (5 pz min.)</t>
  </si>
  <si>
    <t xml:space="preserve">JLCPCB</t>
  </si>
  <si>
    <t xml:space="preserve">https://jlcpcb.com</t>
  </si>
  <si>
    <t xml:space="preserve">Quotare sul configuratore: il prezzo dipende da dimensioni e opzione 2 oz</t>
  </si>
  <si>
    <t xml:space="preserve">Totale elettronica</t>
  </si>
  <si>
    <t xml:space="preserve">di cui verificato</t>
  </si>
  <si>
    <t xml:space="preserve">di cui stima</t>
  </si>
  <si>
    <t xml:space="preserve">Righe da quotare</t>
  </si>
  <si>
    <t xml:space="preserve">Subtotale per categoria</t>
  </si>
  <si>
    <t xml:space="preserve">Totale meccanica</t>
  </si>
  <si>
    <t xml:space="preserve">TOTALE (righe con prezzo)</t>
  </si>
  <si>
    <t xml:space="preserve">Meccanica e accessori (opzionale, non sulla PCB)</t>
  </si>
  <si>
    <t xml:space="preserve">Descrizione</t>
  </si>
  <si>
    <t xml:space="preserve">Unità</t>
  </si>
  <si>
    <t xml:space="preserve">Termica</t>
  </si>
  <si>
    <t xml:space="preserve">Dissipatore + ventola 12 V 4 fili (cooler socket SP3/TR4, ≥300 W)</t>
  </si>
  <si>
    <t xml:space="preserve">Il PCB è progettato sopra questo cooler</t>
  </si>
  <si>
    <t xml:space="preserve">Spreader in rame (piatto Cu-ETP, spessore 6 mm, a misura)</t>
  </si>
  <si>
    <t xml:space="preserve">A potenziale VLOAD: va isolato dal cooler</t>
  </si>
  <si>
    <t xml:space="preserve">Pad termico isolante fra spreader e cooler</t>
  </si>
  <si>
    <t xml:space="preserve">Deve reggere ≥ 100 V</t>
  </si>
  <si>
    <t xml:space="preserve">NTC 10k B3950 (2 pz, incollate allo spreader)</t>
  </si>
  <si>
    <t xml:space="preserve">Pasta termica (MOSFET → spreader)</t>
  </si>
  <si>
    <t xml:space="preserve">Meccanica</t>
  </si>
  <si>
    <t xml:space="preserve">Viti M3 + distanziali in nylon</t>
  </si>
  <si>
    <t xml:space="preserve">set</t>
  </si>
  <si>
    <t xml:space="preserve">Alimentazione</t>
  </si>
  <si>
    <t xml:space="preserve">Alimentatore 12 V ≥ 2 A con jack 5,5/2,1</t>
  </si>
  <si>
    <t xml:space="preserve">Antenna 2,4 GHz con cavetto U.FL (opzionale, se il case è metallico)</t>
  </si>
  <si>
    <t xml:space="preserve">Parametri e ipotesi</t>
  </si>
  <si>
    <t xml:space="preserve">Cambio USD → EUR</t>
  </si>
  <si>
    <t xml:space="preserve">Ipotesi, da aggiornare al giorno dell'ordine</t>
  </si>
  <si>
    <t xml:space="preserve">Cambio GBP → EUR</t>
  </si>
  <si>
    <t xml:space="preserve">Ipotesi, da aggiornare</t>
  </si>
  <si>
    <t xml:space="preserve">Cambio CNY → EUR</t>
  </si>
  <si>
    <t xml:space="preserve">Ipotesi, da aggiornare (prezzi element14 CN sono IVA esclusa)</t>
  </si>
  <si>
    <t xml:space="preserve">Numero di schede</t>
  </si>
  <si>
    <t xml:space="preserve">Moltiplica tutte le quantità della BOM</t>
  </si>
  <si>
    <t xml:space="preserve">• Prezzi a quantità singola/piccola (1–10 pz), IVA esclusa, spedizione e dazi esclusi. Rilevati fra ottobre 2025 e ottobre 2026 dalle pagine indicate nella colonna Fonte: vanno riverificati prima dell'ordine.</t>
  </si>
  <si>
    <t xml:space="preserve">• Stato 'verificato' = prezzo letto su una pagina distributore; 'stima' = prezzo tipico di mercato per quella classe di componente, non letto su una pagina; 'da quotare' = nessun riferimento affidabile.</t>
  </si>
  <si>
    <t xml:space="preserve">• Passivi 1206: il prezzo unitario è basso ma molti distributori vendono a multipli di 10–50 pz; il costo reale d'acquisto dei passivi è dominato dai minimi d'ordine (qualche euro in totale).</t>
  </si>
  <si>
    <t xml:space="preserve">• IXTH75N10L2: lead time di fabbrica 21–38 settimane secondo DigiKey; verificare la disponibilità a magazzino prima di confermare il progetto.</t>
  </si>
  <si>
    <t xml:space="preserve">• Controllo via WiFi con Wemos LOLIN D1 mini Pro V2 (ESP8266) su strip femmina: l'USB del modulo NON è isolato, usarlo solo per programmare a DUT scollegato. Il modulo V2 è lungo 48 mm: l'antenna sporge di circa 2 cm oltre il bordo destro del PCB.</t>
  </si>
  <si>
    <t xml:space="preserve">• DAC8565IAPWR risulta 'Not recommended for new designs' su LCSC; la variante in tubo DAC8565IAPW è ancora in vendita su Mouser/DigiKey.</t>
  </si>
  <si>
    <t xml:space="preserve">• VS-30CTQ100SPbF: LCSC mostrava 1 solo pezzo a magazzino; tenere un'alternativa D2PAK 100 V ≥ 30 A.</t>
  </si>
  <si>
    <t xml:space="preserve">• PCB JLCPCB 2 strati / 2 oz: traccia/spazio minimo 8 mil (0,2 mm), mentre le piazzole dell'INA228 (MSOP-10) distano 0,15 mm. Verificare con il configuratore o passare a 1 oz sugli strati esterni con ricopertura.</t>
  </si>
  <si>
    <t xml:space="preserve">• J1/J2: il footprint attuale è un foro M5 con piazzola, quindi la BOM prevede bullone M5 + dadi + rondelle. I terminali Würth REDCUBE press-fit sono un'alternativa migliore per 25 A ma richiedono un footprint diverso.</t>
  </si>
  <si>
    <t xml:space="preserve">• Q5–Q7: il CSV di KiCad duplicava la riga per i simboli multi-unità; qui sono consolidati in 3 package FDS9926A. Idem U3/U6 = 2 package OPA2196.</t>
  </si>
  <si>
    <t xml:space="preserve">• Rispetto alla versione con STM32 sono usciti STM32F042, ADuM3160, USB-B, LP2951 e header SWD (circa 12 € in meno di elettronica, più il modulo Wemos).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</si>
</sst>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#,##0.0000&quot; €&quot;"/>
    <numFmt numFmtId="167" formatCode="#,##0.00&quot; €&quot;"/>
    <numFmt numFmtId="168" formatCode="General"/>
    <numFmt numFmtId="169" formatCode="0.000"/>
    <numFmt numFmtId="170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tore.comet.bg/en/Catalogue/Product/37095" TargetMode="External"/><Relationship Id="rId2" Type="http://schemas.openxmlformats.org/officeDocument/2006/relationships/hyperlink" Target="https://www.lcsc.com/product-detail/C93194.html" TargetMode="External"/><Relationship Id="rId3" Type="http://schemas.openxmlformats.org/officeDocument/2006/relationships/hyperlink" Target="https://www.lcsc.com/product-detail/C93194.html" TargetMode="External"/><Relationship Id="rId4" Type="http://schemas.openxmlformats.org/officeDocument/2006/relationships/hyperlink" Target="https://www.lcsc.com/category/1142.html" TargetMode="External"/><Relationship Id="rId5" Type="http://schemas.openxmlformats.org/officeDocument/2006/relationships/hyperlink" Target="https://www.lcsc.com/product-image/C145332.html" TargetMode="External"/><Relationship Id="rId6" Type="http://schemas.openxmlformats.org/officeDocument/2006/relationships/hyperlink" Target="https://uk.rs-online.com/web/p/car-fuses/7874154" TargetMode="External"/><Relationship Id="rId7" Type="http://schemas.openxmlformats.org/officeDocument/2006/relationships/hyperlink" Target="https://www.tinytronics.nl/shop/nl/communicatie/wi-fi/wemos-lolin-d1-mini-pro-v2-esp8266-ch340c" TargetMode="External"/><Relationship Id="rId8" Type="http://schemas.openxmlformats.org/officeDocument/2006/relationships/hyperlink" Target="https://www.findchips.com/search/H75N1" TargetMode="External"/><Relationship Id="rId9" Type="http://schemas.openxmlformats.org/officeDocument/2006/relationships/hyperlink" Target="https://www.element14.cn/en-CN/vishay/wsk2512r0200fea/current-sense-res-0r02-1-1-w-2512/dp/1107431" TargetMode="External"/><Relationship Id="rId10" Type="http://schemas.openxmlformats.org/officeDocument/2006/relationships/hyperlink" Target="https://www.flux.ai/lcsc/opa2196idr.md" TargetMode="External"/><Relationship Id="rId11" Type="http://schemas.openxmlformats.org/officeDocument/2006/relationships/hyperlink" Target="https://www.digikey.com/en/products/detail/texas-instruments/INA228AIDGST/13691047" TargetMode="External"/><Relationship Id="rId12" Type="http://schemas.openxmlformats.org/officeDocument/2006/relationships/hyperlink" Target="https://www.electronicsdatasheets.com/manufacturers/texas-instruments/parts/dac8565" TargetMode="External"/><Relationship Id="rId13" Type="http://schemas.openxmlformats.org/officeDocument/2006/relationships/hyperlink" Target="https://www.oemstrade.com/search/ap63205wu-7" TargetMode="External"/><Relationship Id="rId14" Type="http://schemas.openxmlformats.org/officeDocument/2006/relationships/hyperlink" Target="https://jlcpcb.com/" TargetMode="External"/><Relationship Id="rId1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30"/>
    <col collapsed="false" customWidth="true" hidden="false" outlineLevel="0" max="15" min="15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26.85" hidden="false" customHeight="false" outlineLevel="0" collapsed="false">
      <c r="A5" s="4" t="s">
        <v>17</v>
      </c>
      <c r="B5" s="5" t="s">
        <v>18</v>
      </c>
      <c r="C5" s="6" t="n">
        <v>1</v>
      </c>
      <c r="D5" s="4" t="s">
        <v>19</v>
      </c>
      <c r="E5" s="4" t="s">
        <v>20</v>
      </c>
      <c r="F5" s="5" t="s">
        <v>21</v>
      </c>
      <c r="G5" s="4" t="s">
        <v>22</v>
      </c>
      <c r="H5" s="7" t="n">
        <v>0.02418</v>
      </c>
      <c r="I5" s="6" t="s">
        <v>23</v>
      </c>
      <c r="J5" s="8" t="n">
        <f aca="false">IF(H5="","",H5*IF(I5="USD",Parametri!$B$3,IF(I5="GBP",Parametri!$B$4,IF(I5="CNY",Parametri!$B$5,1))))</f>
        <v>0.0207948</v>
      </c>
      <c r="K5" s="4" t="n">
        <f aca="false">C5*Parametri!$B$7</f>
        <v>1</v>
      </c>
      <c r="L5" s="9" t="n">
        <f aca="false">IF(J5="","",J5*K5)</f>
        <v>0.0207948</v>
      </c>
      <c r="M5" s="4" t="s">
        <v>24</v>
      </c>
      <c r="N5" s="10" t="s">
        <v>25</v>
      </c>
      <c r="O5" s="5" t="s">
        <v>26</v>
      </c>
    </row>
    <row r="6" customFormat="false" ht="15" hidden="false" customHeight="false" outlineLevel="0" collapsed="false">
      <c r="A6" s="4" t="s">
        <v>17</v>
      </c>
      <c r="B6" s="5" t="s">
        <v>27</v>
      </c>
      <c r="C6" s="6" t="n">
        <v>1</v>
      </c>
      <c r="D6" s="4" t="s">
        <v>28</v>
      </c>
      <c r="E6" s="4" t="s">
        <v>20</v>
      </c>
      <c r="F6" s="5" t="s">
        <v>29</v>
      </c>
      <c r="G6" s="4" t="s">
        <v>30</v>
      </c>
      <c r="H6" s="7" t="n">
        <v>0.02</v>
      </c>
      <c r="I6" s="6" t="s">
        <v>23</v>
      </c>
      <c r="J6" s="8" t="n">
        <f aca="false">IF(H6="","",H6*IF(I6="USD",Parametri!$B$3,IF(I6="GBP",Parametri!$B$4,IF(I6="CNY",Parametri!$B$5,1))))</f>
        <v>0.0172</v>
      </c>
      <c r="K6" s="4" t="n">
        <f aca="false">C6*Parametri!$B$7</f>
        <v>1</v>
      </c>
      <c r="L6" s="9" t="n">
        <f aca="false">IF(J6="","",J6*K6)</f>
        <v>0.0172</v>
      </c>
      <c r="M6" s="11" t="s">
        <v>31</v>
      </c>
      <c r="N6" s="4"/>
      <c r="O6" s="5"/>
    </row>
    <row r="7" customFormat="false" ht="26.85" hidden="false" customHeight="false" outlineLevel="0" collapsed="false">
      <c r="A7" s="4" t="s">
        <v>17</v>
      </c>
      <c r="B7" s="5" t="s">
        <v>32</v>
      </c>
      <c r="C7" s="6" t="n">
        <v>13</v>
      </c>
      <c r="D7" s="4" t="s">
        <v>33</v>
      </c>
      <c r="E7" s="4" t="s">
        <v>20</v>
      </c>
      <c r="F7" s="5" t="s">
        <v>34</v>
      </c>
      <c r="G7" s="4" t="s">
        <v>30</v>
      </c>
      <c r="H7" s="7" t="n">
        <v>0.015</v>
      </c>
      <c r="I7" s="6" t="s">
        <v>23</v>
      </c>
      <c r="J7" s="8" t="n">
        <f aca="false">IF(H7="","",H7*IF(I7="USD",Parametri!$B$3,IF(I7="GBP",Parametri!$B$4,IF(I7="CNY",Parametri!$B$5,1))))</f>
        <v>0.0129</v>
      </c>
      <c r="K7" s="4" t="n">
        <f aca="false">C7*Parametri!$B$7</f>
        <v>13</v>
      </c>
      <c r="L7" s="9" t="n">
        <f aca="false">IF(J7="","",J7*K7)</f>
        <v>0.1677</v>
      </c>
      <c r="M7" s="11" t="s">
        <v>31</v>
      </c>
      <c r="N7" s="10" t="s">
        <v>35</v>
      </c>
      <c r="O7" s="5" t="s">
        <v>36</v>
      </c>
    </row>
    <row r="8" customFormat="false" ht="15" hidden="false" customHeight="false" outlineLevel="0" collapsed="false">
      <c r="A8" s="4" t="s">
        <v>17</v>
      </c>
      <c r="B8" s="5" t="s">
        <v>37</v>
      </c>
      <c r="C8" s="6" t="n">
        <v>4</v>
      </c>
      <c r="D8" s="4" t="s">
        <v>38</v>
      </c>
      <c r="E8" s="4" t="s">
        <v>20</v>
      </c>
      <c r="F8" s="5" t="s">
        <v>39</v>
      </c>
      <c r="G8" s="4" t="s">
        <v>30</v>
      </c>
      <c r="H8" s="7" t="n">
        <v>0.03</v>
      </c>
      <c r="I8" s="6" t="s">
        <v>23</v>
      </c>
      <c r="J8" s="8" t="n">
        <f aca="false">IF(H8="","",H8*IF(I8="USD",Parametri!$B$3,IF(I8="GBP",Parametri!$B$4,IF(I8="CNY",Parametri!$B$5,1))))</f>
        <v>0.0258</v>
      </c>
      <c r="K8" s="4" t="n">
        <f aca="false">C8*Parametri!$B$7</f>
        <v>4</v>
      </c>
      <c r="L8" s="9" t="n">
        <f aca="false">IF(J8="","",J8*K8)</f>
        <v>0.1032</v>
      </c>
      <c r="M8" s="11" t="s">
        <v>31</v>
      </c>
      <c r="N8" s="4"/>
      <c r="O8" s="5" t="s">
        <v>40</v>
      </c>
    </row>
    <row r="9" customFormat="false" ht="15" hidden="false" customHeight="false" outlineLevel="0" collapsed="false">
      <c r="A9" s="4" t="s">
        <v>17</v>
      </c>
      <c r="B9" s="5" t="s">
        <v>41</v>
      </c>
      <c r="C9" s="6" t="n">
        <v>4</v>
      </c>
      <c r="D9" s="4" t="s">
        <v>42</v>
      </c>
      <c r="E9" s="4" t="s">
        <v>20</v>
      </c>
      <c r="F9" s="5" t="s">
        <v>39</v>
      </c>
      <c r="G9" s="4" t="s">
        <v>30</v>
      </c>
      <c r="H9" s="7" t="n">
        <v>0.02</v>
      </c>
      <c r="I9" s="6" t="s">
        <v>23</v>
      </c>
      <c r="J9" s="8" t="n">
        <f aca="false">IF(H9="","",H9*IF(I9="USD",Parametri!$B$3,IF(I9="GBP",Parametri!$B$4,IF(I9="CNY",Parametri!$B$5,1))))</f>
        <v>0.0172</v>
      </c>
      <c r="K9" s="4" t="n">
        <f aca="false">C9*Parametri!$B$7</f>
        <v>4</v>
      </c>
      <c r="L9" s="9" t="n">
        <f aca="false">IF(J9="","",J9*K9)</f>
        <v>0.0688</v>
      </c>
      <c r="M9" s="11" t="s">
        <v>31</v>
      </c>
      <c r="N9" s="4"/>
      <c r="O9" s="5" t="s">
        <v>43</v>
      </c>
    </row>
    <row r="10" customFormat="false" ht="15" hidden="false" customHeight="false" outlineLevel="0" collapsed="false">
      <c r="A10" s="4" t="s">
        <v>17</v>
      </c>
      <c r="B10" s="5" t="s">
        <v>44</v>
      </c>
      <c r="C10" s="6" t="n">
        <v>4</v>
      </c>
      <c r="D10" s="4" t="s">
        <v>45</v>
      </c>
      <c r="E10" s="4" t="s">
        <v>20</v>
      </c>
      <c r="F10" s="5" t="s">
        <v>46</v>
      </c>
      <c r="G10" s="4" t="s">
        <v>30</v>
      </c>
      <c r="H10" s="7" t="n">
        <v>0.015</v>
      </c>
      <c r="I10" s="6" t="s">
        <v>23</v>
      </c>
      <c r="J10" s="8" t="n">
        <f aca="false">IF(H10="","",H10*IF(I10="USD",Parametri!$B$3,IF(I10="GBP",Parametri!$B$4,IF(I10="CNY",Parametri!$B$5,1))))</f>
        <v>0.0129</v>
      </c>
      <c r="K10" s="4" t="n">
        <f aca="false">C10*Parametri!$B$7</f>
        <v>4</v>
      </c>
      <c r="L10" s="9" t="n">
        <f aca="false">IF(J10="","",J10*K10)</f>
        <v>0.0516</v>
      </c>
      <c r="M10" s="11" t="s">
        <v>31</v>
      </c>
      <c r="N10" s="10" t="s">
        <v>35</v>
      </c>
      <c r="O10" s="5"/>
    </row>
    <row r="11" customFormat="false" ht="15" hidden="false" customHeight="false" outlineLevel="0" collapsed="false">
      <c r="A11" s="4" t="s">
        <v>17</v>
      </c>
      <c r="B11" s="5" t="s">
        <v>47</v>
      </c>
      <c r="C11" s="6" t="n">
        <v>5</v>
      </c>
      <c r="D11" s="4" t="s">
        <v>48</v>
      </c>
      <c r="E11" s="4" t="s">
        <v>20</v>
      </c>
      <c r="F11" s="5" t="s">
        <v>49</v>
      </c>
      <c r="G11" s="4" t="s">
        <v>30</v>
      </c>
      <c r="H11" s="7" t="n">
        <v>0.0667</v>
      </c>
      <c r="I11" s="6" t="s">
        <v>23</v>
      </c>
      <c r="J11" s="8" t="n">
        <f aca="false">IF(H11="","",H11*IF(I11="USD",Parametri!$B$3,IF(I11="GBP",Parametri!$B$4,IF(I11="CNY",Parametri!$B$5,1))))</f>
        <v>0.057362</v>
      </c>
      <c r="K11" s="4" t="n">
        <f aca="false">C11*Parametri!$B$7</f>
        <v>5</v>
      </c>
      <c r="L11" s="9" t="n">
        <f aca="false">IF(J11="","",J11*K11)</f>
        <v>0.28681</v>
      </c>
      <c r="M11" s="4" t="s">
        <v>24</v>
      </c>
      <c r="N11" s="10" t="s">
        <v>50</v>
      </c>
      <c r="O11" s="5" t="s">
        <v>51</v>
      </c>
    </row>
    <row r="12" customFormat="false" ht="15" hidden="false" customHeight="false" outlineLevel="0" collapsed="false">
      <c r="A12" s="4" t="s">
        <v>17</v>
      </c>
      <c r="B12" s="5" t="s">
        <v>52</v>
      </c>
      <c r="C12" s="6" t="n">
        <v>2</v>
      </c>
      <c r="D12" s="4" t="s">
        <v>53</v>
      </c>
      <c r="E12" s="4" t="s">
        <v>20</v>
      </c>
      <c r="F12" s="5" t="s">
        <v>54</v>
      </c>
      <c r="G12" s="4" t="s">
        <v>30</v>
      </c>
      <c r="H12" s="7" t="n">
        <v>0.02</v>
      </c>
      <c r="I12" s="6" t="s">
        <v>23</v>
      </c>
      <c r="J12" s="8" t="n">
        <f aca="false">IF(H12="","",H12*IF(I12="USD",Parametri!$B$3,IF(I12="GBP",Parametri!$B$4,IF(I12="CNY",Parametri!$B$5,1))))</f>
        <v>0.0172</v>
      </c>
      <c r="K12" s="4" t="n">
        <f aca="false">C12*Parametri!$B$7</f>
        <v>2</v>
      </c>
      <c r="L12" s="9" t="n">
        <f aca="false">IF(J12="","",J12*K12)</f>
        <v>0.0344</v>
      </c>
      <c r="M12" s="11" t="s">
        <v>31</v>
      </c>
      <c r="N12" s="4"/>
      <c r="O12" s="5"/>
    </row>
    <row r="13" customFormat="false" ht="15" hidden="false" customHeight="false" outlineLevel="0" collapsed="false">
      <c r="A13" s="4" t="s">
        <v>17</v>
      </c>
      <c r="B13" s="5" t="s">
        <v>55</v>
      </c>
      <c r="C13" s="6" t="n">
        <v>2</v>
      </c>
      <c r="D13" s="4" t="s">
        <v>56</v>
      </c>
      <c r="E13" s="4" t="s">
        <v>20</v>
      </c>
      <c r="F13" s="5" t="s">
        <v>57</v>
      </c>
      <c r="G13" s="4" t="s">
        <v>30</v>
      </c>
      <c r="H13" s="7" t="n">
        <v>0.05</v>
      </c>
      <c r="I13" s="6" t="s">
        <v>23</v>
      </c>
      <c r="J13" s="8" t="n">
        <f aca="false">IF(H13="","",H13*IF(I13="USD",Parametri!$B$3,IF(I13="GBP",Parametri!$B$4,IF(I13="CNY",Parametri!$B$5,1))))</f>
        <v>0.043</v>
      </c>
      <c r="K13" s="4" t="n">
        <f aca="false">C13*Parametri!$B$7</f>
        <v>2</v>
      </c>
      <c r="L13" s="9" t="n">
        <f aca="false">IF(J13="","",J13*K13)</f>
        <v>0.086</v>
      </c>
      <c r="M13" s="11" t="s">
        <v>31</v>
      </c>
      <c r="N13" s="4"/>
      <c r="O13" s="5" t="s">
        <v>58</v>
      </c>
    </row>
    <row r="14" customFormat="false" ht="15" hidden="false" customHeight="false" outlineLevel="0" collapsed="false">
      <c r="A14" s="4" t="s">
        <v>59</v>
      </c>
      <c r="B14" s="5" t="s">
        <v>60</v>
      </c>
      <c r="C14" s="6" t="n">
        <v>1</v>
      </c>
      <c r="D14" s="4" t="s">
        <v>61</v>
      </c>
      <c r="E14" s="4" t="s">
        <v>62</v>
      </c>
      <c r="F14" s="5" t="s">
        <v>63</v>
      </c>
      <c r="G14" s="4" t="s">
        <v>30</v>
      </c>
      <c r="H14" s="7" t="n">
        <v>3.5052</v>
      </c>
      <c r="I14" s="6" t="s">
        <v>23</v>
      </c>
      <c r="J14" s="8" t="n">
        <f aca="false">IF(H14="","",H14*IF(I14="USD",Parametri!$B$3,IF(I14="GBP",Parametri!$B$4,IF(I14="CNY",Parametri!$B$5,1))))</f>
        <v>3.014472</v>
      </c>
      <c r="K14" s="4" t="n">
        <f aca="false">C14*Parametri!$B$7</f>
        <v>1</v>
      </c>
      <c r="L14" s="9" t="n">
        <f aca="false">IF(J14="","",J14*K14)</f>
        <v>3.014472</v>
      </c>
      <c r="M14" s="4" t="s">
        <v>24</v>
      </c>
      <c r="N14" s="10" t="s">
        <v>64</v>
      </c>
      <c r="O14" s="5" t="s">
        <v>65</v>
      </c>
    </row>
    <row r="15" customFormat="false" ht="15" hidden="false" customHeight="false" outlineLevel="0" collapsed="false">
      <c r="A15" s="4" t="s">
        <v>59</v>
      </c>
      <c r="B15" s="5" t="s">
        <v>66</v>
      </c>
      <c r="C15" s="6" t="n">
        <v>1</v>
      </c>
      <c r="D15" s="4" t="s">
        <v>67</v>
      </c>
      <c r="E15" s="4" t="s">
        <v>68</v>
      </c>
      <c r="F15" s="5" t="s">
        <v>69</v>
      </c>
      <c r="G15" s="4" t="s">
        <v>30</v>
      </c>
      <c r="H15" s="7" t="n">
        <v>0.25</v>
      </c>
      <c r="I15" s="6" t="s">
        <v>23</v>
      </c>
      <c r="J15" s="8" t="n">
        <f aca="false">IF(H15="","",H15*IF(I15="USD",Parametri!$B$3,IF(I15="GBP",Parametri!$B$4,IF(I15="CNY",Parametri!$B$5,1))))</f>
        <v>0.215</v>
      </c>
      <c r="K15" s="4" t="n">
        <f aca="false">C15*Parametri!$B$7</f>
        <v>1</v>
      </c>
      <c r="L15" s="9" t="n">
        <f aca="false">IF(J15="","",J15*K15)</f>
        <v>0.215</v>
      </c>
      <c r="M15" s="11" t="s">
        <v>31</v>
      </c>
      <c r="N15" s="4"/>
      <c r="O15" s="5"/>
    </row>
    <row r="16" customFormat="false" ht="15" hidden="false" customHeight="false" outlineLevel="0" collapsed="false">
      <c r="A16" s="4" t="s">
        <v>59</v>
      </c>
      <c r="B16" s="5" t="s">
        <v>70</v>
      </c>
      <c r="C16" s="6" t="n">
        <v>1</v>
      </c>
      <c r="D16" s="4" t="s">
        <v>71</v>
      </c>
      <c r="E16" s="4" t="s">
        <v>72</v>
      </c>
      <c r="F16" s="5" t="s">
        <v>73</v>
      </c>
      <c r="G16" s="4" t="s">
        <v>30</v>
      </c>
      <c r="H16" s="7" t="n">
        <v>0.08</v>
      </c>
      <c r="I16" s="6" t="s">
        <v>23</v>
      </c>
      <c r="J16" s="8" t="n">
        <f aca="false">IF(H16="","",H16*IF(I16="USD",Parametri!$B$3,IF(I16="GBP",Parametri!$B$4,IF(I16="CNY",Parametri!$B$5,1))))</f>
        <v>0.0688</v>
      </c>
      <c r="K16" s="4" t="n">
        <f aca="false">C16*Parametri!$B$7</f>
        <v>1</v>
      </c>
      <c r="L16" s="9" t="n">
        <f aca="false">IF(J16="","",J16*K16)</f>
        <v>0.0688</v>
      </c>
      <c r="M16" s="11" t="s">
        <v>31</v>
      </c>
      <c r="N16" s="4"/>
      <c r="O16" s="5"/>
    </row>
    <row r="17" customFormat="false" ht="15" hidden="false" customHeight="false" outlineLevel="0" collapsed="false">
      <c r="A17" s="4" t="s">
        <v>59</v>
      </c>
      <c r="B17" s="5" t="s">
        <v>74</v>
      </c>
      <c r="C17" s="6" t="n">
        <v>1</v>
      </c>
      <c r="D17" s="4" t="s">
        <v>75</v>
      </c>
      <c r="E17" s="4" t="s">
        <v>72</v>
      </c>
      <c r="F17" s="5" t="s">
        <v>76</v>
      </c>
      <c r="G17" s="4" t="s">
        <v>30</v>
      </c>
      <c r="H17" s="7" t="n">
        <v>0.03</v>
      </c>
      <c r="I17" s="6" t="s">
        <v>23</v>
      </c>
      <c r="J17" s="8" t="n">
        <f aca="false">IF(H17="","",H17*IF(I17="USD",Parametri!$B$3,IF(I17="GBP",Parametri!$B$4,IF(I17="CNY",Parametri!$B$5,1))))</f>
        <v>0.0258</v>
      </c>
      <c r="K17" s="4" t="n">
        <f aca="false">C17*Parametri!$B$7</f>
        <v>1</v>
      </c>
      <c r="L17" s="9" t="n">
        <f aca="false">IF(J17="","",J17*K17)</f>
        <v>0.0258</v>
      </c>
      <c r="M17" s="11" t="s">
        <v>31</v>
      </c>
      <c r="N17" s="4"/>
      <c r="O17" s="5"/>
    </row>
    <row r="18" customFormat="false" ht="15" hidden="false" customHeight="false" outlineLevel="0" collapsed="false">
      <c r="A18" s="4" t="s">
        <v>59</v>
      </c>
      <c r="B18" s="5" t="s">
        <v>77</v>
      </c>
      <c r="C18" s="6" t="n">
        <v>1</v>
      </c>
      <c r="D18" s="4" t="s">
        <v>78</v>
      </c>
      <c r="E18" s="4" t="s">
        <v>20</v>
      </c>
      <c r="F18" s="5" t="s">
        <v>79</v>
      </c>
      <c r="G18" s="4" t="s">
        <v>30</v>
      </c>
      <c r="H18" s="7" t="n">
        <v>0.03</v>
      </c>
      <c r="I18" s="6" t="s">
        <v>23</v>
      </c>
      <c r="J18" s="8" t="n">
        <f aca="false">IF(H18="","",H18*IF(I18="USD",Parametri!$B$3,IF(I18="GBP",Parametri!$B$4,IF(I18="CNY",Parametri!$B$5,1))))</f>
        <v>0.0258</v>
      </c>
      <c r="K18" s="4" t="n">
        <f aca="false">C18*Parametri!$B$7</f>
        <v>1</v>
      </c>
      <c r="L18" s="9" t="n">
        <f aca="false">IF(J18="","",J18*K18)</f>
        <v>0.0258</v>
      </c>
      <c r="M18" s="11" t="s">
        <v>31</v>
      </c>
      <c r="N18" s="4"/>
      <c r="O18" s="5"/>
    </row>
    <row r="19" customFormat="false" ht="15" hidden="false" customHeight="false" outlineLevel="0" collapsed="false">
      <c r="A19" s="4" t="s">
        <v>80</v>
      </c>
      <c r="B19" s="5" t="s">
        <v>81</v>
      </c>
      <c r="C19" s="6" t="n">
        <v>1</v>
      </c>
      <c r="D19" s="4" t="s">
        <v>82</v>
      </c>
      <c r="E19" s="4" t="s">
        <v>83</v>
      </c>
      <c r="F19" s="5" t="s">
        <v>84</v>
      </c>
      <c r="G19" s="4" t="s">
        <v>85</v>
      </c>
      <c r="H19" s="7" t="n">
        <v>0.235</v>
      </c>
      <c r="I19" s="6" t="s">
        <v>86</v>
      </c>
      <c r="J19" s="8" t="n">
        <f aca="false">IF(H19="","",H19*IF(I19="USD",Parametri!$B$3,IF(I19="GBP",Parametri!$B$4,IF(I19="CNY",Parametri!$B$5,1))))</f>
        <v>0.27025</v>
      </c>
      <c r="K19" s="4" t="n">
        <f aca="false">C19*Parametri!$B$7</f>
        <v>1</v>
      </c>
      <c r="L19" s="9" t="n">
        <f aca="false">IF(J19="","",J19*K19)</f>
        <v>0.27025</v>
      </c>
      <c r="M19" s="4" t="s">
        <v>24</v>
      </c>
      <c r="N19" s="10" t="s">
        <v>87</v>
      </c>
      <c r="O19" s="5" t="s">
        <v>88</v>
      </c>
    </row>
    <row r="20" customFormat="false" ht="15" hidden="false" customHeight="false" outlineLevel="0" collapsed="false">
      <c r="A20" s="4" t="s">
        <v>80</v>
      </c>
      <c r="B20" s="5" t="s">
        <v>89</v>
      </c>
      <c r="C20" s="6" t="n">
        <v>1</v>
      </c>
      <c r="D20" s="4" t="s">
        <v>90</v>
      </c>
      <c r="E20" s="4" t="s">
        <v>91</v>
      </c>
      <c r="F20" s="5" t="s">
        <v>92</v>
      </c>
      <c r="G20" s="4"/>
      <c r="H20" s="7"/>
      <c r="I20" s="6" t="s">
        <v>93</v>
      </c>
      <c r="J20" s="8" t="str">
        <f aca="false">IF(H20="","",H20*IF(I20="USD",Parametri!$B$3,IF(I20="GBP",Parametri!$B$4,IF(I20="CNY",Parametri!$B$5,1))))</f>
        <v/>
      </c>
      <c r="K20" s="4" t="n">
        <f aca="false">C20*Parametri!$B$7</f>
        <v>1</v>
      </c>
      <c r="L20" s="9" t="str">
        <f aca="false">IF(J20="","",J20*K20)</f>
        <v/>
      </c>
      <c r="M20" s="12" t="s">
        <v>94</v>
      </c>
      <c r="N20" s="4"/>
      <c r="O20" s="5" t="s">
        <v>95</v>
      </c>
    </row>
    <row r="21" customFormat="false" ht="26.85" hidden="false" customHeight="false" outlineLevel="0" collapsed="false">
      <c r="A21" s="4" t="s">
        <v>80</v>
      </c>
      <c r="B21" s="5" t="s">
        <v>96</v>
      </c>
      <c r="C21" s="6" t="n">
        <v>1</v>
      </c>
      <c r="D21" s="4" t="s">
        <v>97</v>
      </c>
      <c r="E21" s="4" t="s">
        <v>20</v>
      </c>
      <c r="F21" s="5" t="s">
        <v>98</v>
      </c>
      <c r="G21" s="4" t="s">
        <v>30</v>
      </c>
      <c r="H21" s="7" t="n">
        <v>0.15</v>
      </c>
      <c r="I21" s="6" t="s">
        <v>23</v>
      </c>
      <c r="J21" s="8" t="n">
        <f aca="false">IF(H21="","",H21*IF(I21="USD",Parametri!$B$3,IF(I21="GBP",Parametri!$B$4,IF(I21="CNY",Parametri!$B$5,1))))</f>
        <v>0.129</v>
      </c>
      <c r="K21" s="4" t="n">
        <f aca="false">C21*Parametri!$B$7</f>
        <v>1</v>
      </c>
      <c r="L21" s="9" t="n">
        <f aca="false">IF(J21="","",J21*K21)</f>
        <v>0.129</v>
      </c>
      <c r="M21" s="11" t="s">
        <v>31</v>
      </c>
      <c r="N21" s="4"/>
      <c r="O21" s="5" t="s">
        <v>99</v>
      </c>
    </row>
    <row r="22" customFormat="false" ht="39.55" hidden="false" customHeight="false" outlineLevel="0" collapsed="false">
      <c r="A22" s="4" t="s">
        <v>100</v>
      </c>
      <c r="B22" s="5" t="s">
        <v>101</v>
      </c>
      <c r="C22" s="6" t="n">
        <v>2</v>
      </c>
      <c r="D22" s="4" t="s">
        <v>102</v>
      </c>
      <c r="E22" s="4" t="s">
        <v>103</v>
      </c>
      <c r="F22" s="5" t="s">
        <v>104</v>
      </c>
      <c r="G22" s="4" t="s">
        <v>105</v>
      </c>
      <c r="H22" s="7" t="n">
        <v>0.6</v>
      </c>
      <c r="I22" s="6" t="s">
        <v>93</v>
      </c>
      <c r="J22" s="8" t="n">
        <f aca="false">IF(H22="","",H22*IF(I22="USD",Parametri!$B$3,IF(I22="GBP",Parametri!$B$4,IF(I22="CNY",Parametri!$B$5,1))))</f>
        <v>0.6</v>
      </c>
      <c r="K22" s="4" t="n">
        <f aca="false">C22*Parametri!$B$7</f>
        <v>2</v>
      </c>
      <c r="L22" s="9" t="n">
        <f aca="false">IF(J22="","",J22*K22)</f>
        <v>1.2</v>
      </c>
      <c r="M22" s="11" t="s">
        <v>31</v>
      </c>
      <c r="N22" s="4"/>
      <c r="O22" s="5" t="s">
        <v>106</v>
      </c>
    </row>
    <row r="23" customFormat="false" ht="26.85" hidden="false" customHeight="false" outlineLevel="0" collapsed="false">
      <c r="A23" s="4" t="s">
        <v>100</v>
      </c>
      <c r="B23" s="5" t="s">
        <v>107</v>
      </c>
      <c r="C23" s="6" t="n">
        <v>1</v>
      </c>
      <c r="D23" s="4" t="s">
        <v>108</v>
      </c>
      <c r="E23" s="4" t="s">
        <v>109</v>
      </c>
      <c r="F23" s="5" t="s">
        <v>110</v>
      </c>
      <c r="G23" s="4"/>
      <c r="H23" s="7" t="n">
        <v>0.8</v>
      </c>
      <c r="I23" s="6" t="s">
        <v>93</v>
      </c>
      <c r="J23" s="8" t="n">
        <f aca="false">IF(H23="","",H23*IF(I23="USD",Parametri!$B$3,IF(I23="GBP",Parametri!$B$4,IF(I23="CNY",Parametri!$B$5,1))))</f>
        <v>0.8</v>
      </c>
      <c r="K23" s="4" t="n">
        <f aca="false">C23*Parametri!$B$7</f>
        <v>1</v>
      </c>
      <c r="L23" s="9" t="n">
        <f aca="false">IF(J23="","",J23*K23)</f>
        <v>0.8</v>
      </c>
      <c r="M23" s="11" t="s">
        <v>31</v>
      </c>
      <c r="N23" s="4"/>
      <c r="O23" s="5"/>
    </row>
    <row r="24" customFormat="false" ht="15" hidden="false" customHeight="false" outlineLevel="0" collapsed="false">
      <c r="A24" s="4" t="s">
        <v>100</v>
      </c>
      <c r="B24" s="5" t="s">
        <v>111</v>
      </c>
      <c r="C24" s="6" t="n">
        <v>2</v>
      </c>
      <c r="D24" s="4" t="s">
        <v>112</v>
      </c>
      <c r="E24" s="4" t="s">
        <v>109</v>
      </c>
      <c r="F24" s="5" t="s">
        <v>79</v>
      </c>
      <c r="G24" s="4" t="s">
        <v>30</v>
      </c>
      <c r="H24" s="7" t="n">
        <v>0.3</v>
      </c>
      <c r="I24" s="6" t="s">
        <v>23</v>
      </c>
      <c r="J24" s="8" t="n">
        <f aca="false">IF(H24="","",H24*IF(I24="USD",Parametri!$B$3,IF(I24="GBP",Parametri!$B$4,IF(I24="CNY",Parametri!$B$5,1))))</f>
        <v>0.258</v>
      </c>
      <c r="K24" s="4" t="n">
        <f aca="false">C24*Parametri!$B$7</f>
        <v>2</v>
      </c>
      <c r="L24" s="9" t="n">
        <f aca="false">IF(J24="","",J24*K24)</f>
        <v>0.516</v>
      </c>
      <c r="M24" s="11" t="s">
        <v>31</v>
      </c>
      <c r="N24" s="4"/>
      <c r="O24" s="5" t="s">
        <v>113</v>
      </c>
    </row>
    <row r="25" customFormat="false" ht="15" hidden="false" customHeight="false" outlineLevel="0" collapsed="false">
      <c r="A25" s="4" t="s">
        <v>100</v>
      </c>
      <c r="B25" s="5" t="s">
        <v>114</v>
      </c>
      <c r="C25" s="6" t="n">
        <v>2</v>
      </c>
      <c r="D25" s="4" t="s">
        <v>115</v>
      </c>
      <c r="E25" s="4" t="s">
        <v>109</v>
      </c>
      <c r="F25" s="5" t="s">
        <v>116</v>
      </c>
      <c r="G25" s="4"/>
      <c r="H25" s="7" t="n">
        <v>0.35</v>
      </c>
      <c r="I25" s="6" t="s">
        <v>23</v>
      </c>
      <c r="J25" s="8" t="n">
        <f aca="false">IF(H25="","",H25*IF(I25="USD",Parametri!$B$3,IF(I25="GBP",Parametri!$B$4,IF(I25="CNY",Parametri!$B$5,1))))</f>
        <v>0.301</v>
      </c>
      <c r="K25" s="4" t="n">
        <f aca="false">C25*Parametri!$B$7</f>
        <v>2</v>
      </c>
      <c r="L25" s="9" t="n">
        <f aca="false">IF(J25="","",J25*K25)</f>
        <v>0.602</v>
      </c>
      <c r="M25" s="11" t="s">
        <v>31</v>
      </c>
      <c r="N25" s="4"/>
      <c r="O25" s="5"/>
    </row>
    <row r="26" customFormat="false" ht="15" hidden="false" customHeight="false" outlineLevel="0" collapsed="false">
      <c r="A26" s="4" t="s">
        <v>100</v>
      </c>
      <c r="B26" s="5" t="s">
        <v>117</v>
      </c>
      <c r="C26" s="6" t="n">
        <v>1</v>
      </c>
      <c r="D26" s="4" t="s">
        <v>118</v>
      </c>
      <c r="E26" s="4" t="s">
        <v>109</v>
      </c>
      <c r="F26" s="5" t="s">
        <v>119</v>
      </c>
      <c r="G26" s="4"/>
      <c r="H26" s="7" t="n">
        <v>0.6</v>
      </c>
      <c r="I26" s="6" t="s">
        <v>23</v>
      </c>
      <c r="J26" s="8" t="n">
        <f aca="false">IF(H26="","",H26*IF(I26="USD",Parametri!$B$3,IF(I26="GBP",Parametri!$B$4,IF(I26="CNY",Parametri!$B$5,1))))</f>
        <v>0.516</v>
      </c>
      <c r="K26" s="4" t="n">
        <f aca="false">C26*Parametri!$B$7</f>
        <v>1</v>
      </c>
      <c r="L26" s="9" t="n">
        <f aca="false">IF(J26="","",J26*K26)</f>
        <v>0.516</v>
      </c>
      <c r="M26" s="11" t="s">
        <v>31</v>
      </c>
      <c r="N26" s="4"/>
      <c r="O26" s="5"/>
    </row>
    <row r="27" customFormat="false" ht="26.85" hidden="false" customHeight="false" outlineLevel="0" collapsed="false">
      <c r="A27" s="4" t="s">
        <v>120</v>
      </c>
      <c r="B27" s="5" t="s">
        <v>121</v>
      </c>
      <c r="C27" s="6" t="n">
        <v>1</v>
      </c>
      <c r="D27" s="4" t="s">
        <v>122</v>
      </c>
      <c r="E27" s="4" t="s">
        <v>123</v>
      </c>
      <c r="F27" s="5" t="s">
        <v>124</v>
      </c>
      <c r="G27" s="4" t="s">
        <v>125</v>
      </c>
      <c r="H27" s="7" t="n">
        <v>7.44</v>
      </c>
      <c r="I27" s="6" t="s">
        <v>93</v>
      </c>
      <c r="J27" s="8" t="n">
        <f aca="false">IF(H27="","",H27*IF(I27="USD",Parametri!$B$3,IF(I27="GBP",Parametri!$B$4,IF(I27="CNY",Parametri!$B$5,1))))</f>
        <v>7.44</v>
      </c>
      <c r="K27" s="4" t="n">
        <f aca="false">C27*Parametri!$B$7</f>
        <v>1</v>
      </c>
      <c r="L27" s="9" t="n">
        <f aca="false">IF(J27="","",J27*K27)</f>
        <v>7.44</v>
      </c>
      <c r="M27" s="4" t="s">
        <v>24</v>
      </c>
      <c r="N27" s="10" t="s">
        <v>126</v>
      </c>
      <c r="O27" s="5" t="s">
        <v>127</v>
      </c>
    </row>
    <row r="28" customFormat="false" ht="15" hidden="false" customHeight="false" outlineLevel="0" collapsed="false">
      <c r="A28" s="4" t="s">
        <v>128</v>
      </c>
      <c r="B28" s="5" t="s">
        <v>129</v>
      </c>
      <c r="C28" s="6" t="n">
        <v>1</v>
      </c>
      <c r="D28" s="4" t="s">
        <v>130</v>
      </c>
      <c r="E28" s="4" t="s">
        <v>131</v>
      </c>
      <c r="F28" s="5" t="s">
        <v>132</v>
      </c>
      <c r="G28" s="4"/>
      <c r="H28" s="7" t="n">
        <v>0.3</v>
      </c>
      <c r="I28" s="6" t="s">
        <v>23</v>
      </c>
      <c r="J28" s="8" t="n">
        <f aca="false">IF(H28="","",H28*IF(I28="USD",Parametri!$B$3,IF(I28="GBP",Parametri!$B$4,IF(I28="CNY",Parametri!$B$5,1))))</f>
        <v>0.258</v>
      </c>
      <c r="K28" s="4" t="n">
        <f aca="false">C28*Parametri!$B$7</f>
        <v>1</v>
      </c>
      <c r="L28" s="9" t="n">
        <f aca="false">IF(J28="","",J28*K28)</f>
        <v>0.258</v>
      </c>
      <c r="M28" s="11" t="s">
        <v>31</v>
      </c>
      <c r="N28" s="4"/>
      <c r="O28" s="5"/>
    </row>
    <row r="29" customFormat="false" ht="26.85" hidden="false" customHeight="false" outlineLevel="0" collapsed="false">
      <c r="A29" s="4" t="s">
        <v>133</v>
      </c>
      <c r="B29" s="5" t="s">
        <v>134</v>
      </c>
      <c r="C29" s="6" t="n">
        <v>4</v>
      </c>
      <c r="D29" s="4" t="s">
        <v>135</v>
      </c>
      <c r="E29" s="4" t="s">
        <v>136</v>
      </c>
      <c r="F29" s="5" t="s">
        <v>137</v>
      </c>
      <c r="G29" s="4" t="s">
        <v>138</v>
      </c>
      <c r="H29" s="7" t="n">
        <v>17.59</v>
      </c>
      <c r="I29" s="6" t="s">
        <v>23</v>
      </c>
      <c r="J29" s="8" t="n">
        <f aca="false">IF(H29="","",H29*IF(I29="USD",Parametri!$B$3,IF(I29="GBP",Parametri!$B$4,IF(I29="CNY",Parametri!$B$5,1))))</f>
        <v>15.1274</v>
      </c>
      <c r="K29" s="4" t="n">
        <f aca="false">C29*Parametri!$B$7</f>
        <v>4</v>
      </c>
      <c r="L29" s="9" t="n">
        <f aca="false">IF(J29="","",J29*K29)</f>
        <v>60.5096</v>
      </c>
      <c r="M29" s="4" t="s">
        <v>24</v>
      </c>
      <c r="N29" s="10" t="s">
        <v>139</v>
      </c>
      <c r="O29" s="5" t="s">
        <v>140</v>
      </c>
    </row>
    <row r="30" customFormat="false" ht="15" hidden="false" customHeight="false" outlineLevel="0" collapsed="false">
      <c r="A30" s="4" t="s">
        <v>133</v>
      </c>
      <c r="B30" s="5" t="s">
        <v>141</v>
      </c>
      <c r="C30" s="6" t="n">
        <v>3</v>
      </c>
      <c r="D30" s="4" t="s">
        <v>142</v>
      </c>
      <c r="E30" s="4" t="s">
        <v>143</v>
      </c>
      <c r="F30" s="5" t="s">
        <v>144</v>
      </c>
      <c r="G30" s="4"/>
      <c r="H30" s="7" t="n">
        <v>0.4</v>
      </c>
      <c r="I30" s="6" t="s">
        <v>23</v>
      </c>
      <c r="J30" s="8" t="n">
        <f aca="false">IF(H30="","",H30*IF(I30="USD",Parametri!$B$3,IF(I30="GBP",Parametri!$B$4,IF(I30="CNY",Parametri!$B$5,1))))</f>
        <v>0.344</v>
      </c>
      <c r="K30" s="4" t="n">
        <f aca="false">C30*Parametri!$B$7</f>
        <v>3</v>
      </c>
      <c r="L30" s="9" t="n">
        <f aca="false">IF(J30="","",J30*K30)</f>
        <v>1.032</v>
      </c>
      <c r="M30" s="11" t="s">
        <v>31</v>
      </c>
      <c r="N30" s="4"/>
      <c r="O30" s="5"/>
    </row>
    <row r="31" customFormat="false" ht="15" hidden="false" customHeight="false" outlineLevel="0" collapsed="false">
      <c r="A31" s="4" t="s">
        <v>145</v>
      </c>
      <c r="B31" s="5" t="s">
        <v>146</v>
      </c>
      <c r="C31" s="6" t="n">
        <v>6</v>
      </c>
      <c r="D31" s="4" t="s">
        <v>147</v>
      </c>
      <c r="E31" s="4" t="s">
        <v>20</v>
      </c>
      <c r="F31" s="5" t="s">
        <v>79</v>
      </c>
      <c r="G31" s="4" t="s">
        <v>30</v>
      </c>
      <c r="H31" s="7" t="n">
        <v>0.005</v>
      </c>
      <c r="I31" s="6" t="s">
        <v>23</v>
      </c>
      <c r="J31" s="8" t="n">
        <f aca="false">IF(H31="","",H31*IF(I31="USD",Parametri!$B$3,IF(I31="GBP",Parametri!$B$4,IF(I31="CNY",Parametri!$B$5,1))))</f>
        <v>0.0043</v>
      </c>
      <c r="K31" s="4" t="n">
        <f aca="false">C31*Parametri!$B$7</f>
        <v>6</v>
      </c>
      <c r="L31" s="9" t="n">
        <f aca="false">IF(J31="","",J31*K31)</f>
        <v>0.0258</v>
      </c>
      <c r="M31" s="11" t="s">
        <v>31</v>
      </c>
      <c r="N31" s="4"/>
      <c r="O31" s="5"/>
    </row>
    <row r="32" customFormat="false" ht="26.85" hidden="false" customHeight="false" outlineLevel="0" collapsed="false">
      <c r="A32" s="4" t="s">
        <v>145</v>
      </c>
      <c r="B32" s="5" t="s">
        <v>148</v>
      </c>
      <c r="C32" s="6" t="n">
        <v>11</v>
      </c>
      <c r="D32" s="4" t="s">
        <v>149</v>
      </c>
      <c r="E32" s="4" t="s">
        <v>20</v>
      </c>
      <c r="F32" s="5" t="s">
        <v>79</v>
      </c>
      <c r="G32" s="4" t="s">
        <v>30</v>
      </c>
      <c r="H32" s="7" t="n">
        <v>0.005</v>
      </c>
      <c r="I32" s="6" t="s">
        <v>23</v>
      </c>
      <c r="J32" s="8" t="n">
        <f aca="false">IF(H32="","",H32*IF(I32="USD",Parametri!$B$3,IF(I32="GBP",Parametri!$B$4,IF(I32="CNY",Parametri!$B$5,1))))</f>
        <v>0.0043</v>
      </c>
      <c r="K32" s="4" t="n">
        <f aca="false">C32*Parametri!$B$7</f>
        <v>11</v>
      </c>
      <c r="L32" s="9" t="n">
        <f aca="false">IF(J32="","",J32*K32)</f>
        <v>0.0473</v>
      </c>
      <c r="M32" s="11" t="s">
        <v>31</v>
      </c>
      <c r="N32" s="4"/>
      <c r="O32" s="5"/>
    </row>
    <row r="33" customFormat="false" ht="15" hidden="false" customHeight="false" outlineLevel="0" collapsed="false">
      <c r="A33" s="4" t="s">
        <v>145</v>
      </c>
      <c r="B33" s="5" t="s">
        <v>150</v>
      </c>
      <c r="C33" s="6" t="n">
        <v>1</v>
      </c>
      <c r="D33" s="4" t="s">
        <v>151</v>
      </c>
      <c r="E33" s="4" t="s">
        <v>20</v>
      </c>
      <c r="F33" s="5" t="s">
        <v>79</v>
      </c>
      <c r="G33" s="4" t="s">
        <v>30</v>
      </c>
      <c r="H33" s="7" t="n">
        <v>0.005</v>
      </c>
      <c r="I33" s="6" t="s">
        <v>23</v>
      </c>
      <c r="J33" s="8" t="n">
        <f aca="false">IF(H33="","",H33*IF(I33="USD",Parametri!$B$3,IF(I33="GBP",Parametri!$B$4,IF(I33="CNY",Parametri!$B$5,1))))</f>
        <v>0.0043</v>
      </c>
      <c r="K33" s="4" t="n">
        <f aca="false">C33*Parametri!$B$7</f>
        <v>1</v>
      </c>
      <c r="L33" s="9" t="n">
        <f aca="false">IF(J33="","",J33*K33)</f>
        <v>0.0043</v>
      </c>
      <c r="M33" s="11" t="s">
        <v>31</v>
      </c>
      <c r="N33" s="4"/>
      <c r="O33" s="5"/>
    </row>
    <row r="34" customFormat="false" ht="15" hidden="false" customHeight="false" outlineLevel="0" collapsed="false">
      <c r="A34" s="4" t="s">
        <v>145</v>
      </c>
      <c r="B34" s="5" t="s">
        <v>152</v>
      </c>
      <c r="C34" s="6" t="n">
        <v>7</v>
      </c>
      <c r="D34" s="4" t="s">
        <v>153</v>
      </c>
      <c r="E34" s="4" t="s">
        <v>20</v>
      </c>
      <c r="F34" s="5" t="s">
        <v>79</v>
      </c>
      <c r="G34" s="4" t="s">
        <v>30</v>
      </c>
      <c r="H34" s="7" t="n">
        <v>0.005</v>
      </c>
      <c r="I34" s="6" t="s">
        <v>23</v>
      </c>
      <c r="J34" s="8" t="n">
        <f aca="false">IF(H34="","",H34*IF(I34="USD",Parametri!$B$3,IF(I34="GBP",Parametri!$B$4,IF(I34="CNY",Parametri!$B$5,1))))</f>
        <v>0.0043</v>
      </c>
      <c r="K34" s="4" t="n">
        <f aca="false">C34*Parametri!$B$7</f>
        <v>7</v>
      </c>
      <c r="L34" s="9" t="n">
        <f aca="false">IF(J34="","",J34*K34)</f>
        <v>0.0301</v>
      </c>
      <c r="M34" s="11" t="s">
        <v>31</v>
      </c>
      <c r="N34" s="4"/>
      <c r="O34" s="5"/>
    </row>
    <row r="35" customFormat="false" ht="15" hidden="false" customHeight="false" outlineLevel="0" collapsed="false">
      <c r="A35" s="4" t="s">
        <v>145</v>
      </c>
      <c r="B35" s="5" t="s">
        <v>154</v>
      </c>
      <c r="C35" s="6" t="n">
        <v>2</v>
      </c>
      <c r="D35" s="4" t="s">
        <v>155</v>
      </c>
      <c r="E35" s="4" t="s">
        <v>20</v>
      </c>
      <c r="F35" s="5" t="s">
        <v>79</v>
      </c>
      <c r="G35" s="4" t="s">
        <v>30</v>
      </c>
      <c r="H35" s="7" t="n">
        <v>0.005</v>
      </c>
      <c r="I35" s="6" t="s">
        <v>23</v>
      </c>
      <c r="J35" s="8" t="n">
        <f aca="false">IF(H35="","",H35*IF(I35="USD",Parametri!$B$3,IF(I35="GBP",Parametri!$B$4,IF(I35="CNY",Parametri!$B$5,1))))</f>
        <v>0.0043</v>
      </c>
      <c r="K35" s="4" t="n">
        <f aca="false">C35*Parametri!$B$7</f>
        <v>2</v>
      </c>
      <c r="L35" s="9" t="n">
        <f aca="false">IF(J35="","",J35*K35)</f>
        <v>0.0086</v>
      </c>
      <c r="M35" s="11" t="s">
        <v>31</v>
      </c>
      <c r="N35" s="4"/>
      <c r="O35" s="5"/>
    </row>
    <row r="36" customFormat="false" ht="15" hidden="false" customHeight="false" outlineLevel="0" collapsed="false">
      <c r="A36" s="4" t="s">
        <v>145</v>
      </c>
      <c r="B36" s="5" t="s">
        <v>156</v>
      </c>
      <c r="C36" s="6" t="n">
        <v>1</v>
      </c>
      <c r="D36" s="4" t="s">
        <v>157</v>
      </c>
      <c r="E36" s="4" t="s">
        <v>20</v>
      </c>
      <c r="F36" s="5" t="s">
        <v>158</v>
      </c>
      <c r="G36" s="4" t="s">
        <v>30</v>
      </c>
      <c r="H36" s="7" t="n">
        <v>0.005</v>
      </c>
      <c r="I36" s="6" t="s">
        <v>23</v>
      </c>
      <c r="J36" s="8" t="n">
        <f aca="false">IF(H36="","",H36*IF(I36="USD",Parametri!$B$3,IF(I36="GBP",Parametri!$B$4,IF(I36="CNY",Parametri!$B$5,1))))</f>
        <v>0.0043</v>
      </c>
      <c r="K36" s="4" t="n">
        <f aca="false">C36*Parametri!$B$7</f>
        <v>1</v>
      </c>
      <c r="L36" s="9" t="n">
        <f aca="false">IF(J36="","",J36*K36)</f>
        <v>0.0043</v>
      </c>
      <c r="M36" s="11" t="s">
        <v>31</v>
      </c>
      <c r="N36" s="4"/>
      <c r="O36" s="5"/>
    </row>
    <row r="37" customFormat="false" ht="15" hidden="false" customHeight="false" outlineLevel="0" collapsed="false">
      <c r="A37" s="4" t="s">
        <v>145</v>
      </c>
      <c r="B37" s="5" t="s">
        <v>159</v>
      </c>
      <c r="C37" s="6" t="n">
        <v>4</v>
      </c>
      <c r="D37" s="4" t="s">
        <v>160</v>
      </c>
      <c r="E37" s="4" t="s">
        <v>20</v>
      </c>
      <c r="F37" s="5" t="s">
        <v>79</v>
      </c>
      <c r="G37" s="4" t="s">
        <v>30</v>
      </c>
      <c r="H37" s="7" t="n">
        <v>0.005</v>
      </c>
      <c r="I37" s="6" t="s">
        <v>23</v>
      </c>
      <c r="J37" s="8" t="n">
        <f aca="false">IF(H37="","",H37*IF(I37="USD",Parametri!$B$3,IF(I37="GBP",Parametri!$B$4,IF(I37="CNY",Parametri!$B$5,1))))</f>
        <v>0.0043</v>
      </c>
      <c r="K37" s="4" t="n">
        <f aca="false">C37*Parametri!$B$7</f>
        <v>4</v>
      </c>
      <c r="L37" s="9" t="n">
        <f aca="false">IF(J37="","",J37*K37)</f>
        <v>0.0172</v>
      </c>
      <c r="M37" s="11" t="s">
        <v>31</v>
      </c>
      <c r="N37" s="4"/>
      <c r="O37" s="5"/>
    </row>
    <row r="38" customFormat="false" ht="15" hidden="false" customHeight="false" outlineLevel="0" collapsed="false">
      <c r="A38" s="4" t="s">
        <v>145</v>
      </c>
      <c r="B38" s="5" t="s">
        <v>161</v>
      </c>
      <c r="C38" s="6" t="n">
        <v>1</v>
      </c>
      <c r="D38" s="4" t="s">
        <v>162</v>
      </c>
      <c r="E38" s="4" t="s">
        <v>20</v>
      </c>
      <c r="F38" s="5" t="s">
        <v>79</v>
      </c>
      <c r="G38" s="4" t="s">
        <v>30</v>
      </c>
      <c r="H38" s="7" t="n">
        <v>0.005</v>
      </c>
      <c r="I38" s="6" t="s">
        <v>23</v>
      </c>
      <c r="J38" s="8" t="n">
        <f aca="false">IF(H38="","",H38*IF(I38="USD",Parametri!$B$3,IF(I38="GBP",Parametri!$B$4,IF(I38="CNY",Parametri!$B$5,1))))</f>
        <v>0.0043</v>
      </c>
      <c r="K38" s="4" t="n">
        <f aca="false">C38*Parametri!$B$7</f>
        <v>1</v>
      </c>
      <c r="L38" s="9" t="n">
        <f aca="false">IF(J38="","",J38*K38)</f>
        <v>0.0043</v>
      </c>
      <c r="M38" s="11" t="s">
        <v>31</v>
      </c>
      <c r="N38" s="4"/>
      <c r="O38" s="5"/>
    </row>
    <row r="39" customFormat="false" ht="15" hidden="false" customHeight="false" outlineLevel="0" collapsed="false">
      <c r="A39" s="4" t="s">
        <v>145</v>
      </c>
      <c r="B39" s="5" t="s">
        <v>163</v>
      </c>
      <c r="C39" s="6" t="n">
        <v>4</v>
      </c>
      <c r="D39" s="4" t="s">
        <v>164</v>
      </c>
      <c r="E39" s="4" t="s">
        <v>20</v>
      </c>
      <c r="F39" s="5" t="s">
        <v>165</v>
      </c>
      <c r="G39" s="4" t="s">
        <v>30</v>
      </c>
      <c r="H39" s="7" t="n">
        <v>0.25</v>
      </c>
      <c r="I39" s="6" t="s">
        <v>23</v>
      </c>
      <c r="J39" s="8" t="n">
        <f aca="false">IF(H39="","",H39*IF(I39="USD",Parametri!$B$3,IF(I39="GBP",Parametri!$B$4,IF(I39="CNY",Parametri!$B$5,1))))</f>
        <v>0.215</v>
      </c>
      <c r="K39" s="4" t="n">
        <f aca="false">C39*Parametri!$B$7</f>
        <v>4</v>
      </c>
      <c r="L39" s="9" t="n">
        <f aca="false">IF(J39="","",J39*K39)</f>
        <v>0.86</v>
      </c>
      <c r="M39" s="11" t="s">
        <v>31</v>
      </c>
      <c r="N39" s="4"/>
      <c r="O39" s="5" t="s">
        <v>166</v>
      </c>
    </row>
    <row r="40" customFormat="false" ht="15" hidden="false" customHeight="false" outlineLevel="0" collapsed="false">
      <c r="A40" s="4" t="s">
        <v>145</v>
      </c>
      <c r="B40" s="5" t="s">
        <v>167</v>
      </c>
      <c r="C40" s="6" t="n">
        <v>4</v>
      </c>
      <c r="D40" s="4" t="s">
        <v>168</v>
      </c>
      <c r="E40" s="4" t="s">
        <v>20</v>
      </c>
      <c r="F40" s="5" t="s">
        <v>165</v>
      </c>
      <c r="G40" s="4" t="s">
        <v>30</v>
      </c>
      <c r="H40" s="7" t="n">
        <v>0.25</v>
      </c>
      <c r="I40" s="6" t="s">
        <v>23</v>
      </c>
      <c r="J40" s="8" t="n">
        <f aca="false">IF(H40="","",H40*IF(I40="USD",Parametri!$B$3,IF(I40="GBP",Parametri!$B$4,IF(I40="CNY",Parametri!$B$5,1))))</f>
        <v>0.215</v>
      </c>
      <c r="K40" s="4" t="n">
        <f aca="false">C40*Parametri!$B$7</f>
        <v>4</v>
      </c>
      <c r="L40" s="9" t="n">
        <f aca="false">IF(J40="","",J40*K40)</f>
        <v>0.86</v>
      </c>
      <c r="M40" s="11" t="s">
        <v>31</v>
      </c>
      <c r="N40" s="4"/>
      <c r="O40" s="5"/>
    </row>
    <row r="41" customFormat="false" ht="26.85" hidden="false" customHeight="false" outlineLevel="0" collapsed="false">
      <c r="A41" s="4" t="s">
        <v>145</v>
      </c>
      <c r="B41" s="5" t="s">
        <v>169</v>
      </c>
      <c r="C41" s="6" t="n">
        <v>4</v>
      </c>
      <c r="D41" s="4" t="s">
        <v>170</v>
      </c>
      <c r="E41" s="4" t="s">
        <v>171</v>
      </c>
      <c r="F41" s="5" t="s">
        <v>172</v>
      </c>
      <c r="G41" s="4" t="s">
        <v>173</v>
      </c>
      <c r="H41" s="7" t="n">
        <v>23.72</v>
      </c>
      <c r="I41" s="6" t="s">
        <v>174</v>
      </c>
      <c r="J41" s="8" t="n">
        <f aca="false">IF(H41="","",H41*IF(I41="USD",Parametri!$B$3,IF(I41="GBP",Parametri!$B$4,IF(I41="CNY",Parametri!$B$5,1))))</f>
        <v>2.8464</v>
      </c>
      <c r="K41" s="4" t="n">
        <f aca="false">C41*Parametri!$B$7</f>
        <v>4</v>
      </c>
      <c r="L41" s="9" t="n">
        <f aca="false">IF(J41="","",J41*K41)</f>
        <v>11.3856</v>
      </c>
      <c r="M41" s="4" t="s">
        <v>24</v>
      </c>
      <c r="N41" s="10" t="s">
        <v>175</v>
      </c>
      <c r="O41" s="5" t="s">
        <v>176</v>
      </c>
    </row>
    <row r="42" customFormat="false" ht="15" hidden="false" customHeight="false" outlineLevel="0" collapsed="false">
      <c r="A42" s="4" t="s">
        <v>145</v>
      </c>
      <c r="B42" s="5" t="s">
        <v>177</v>
      </c>
      <c r="C42" s="6" t="n">
        <v>2</v>
      </c>
      <c r="D42" s="4" t="s">
        <v>178</v>
      </c>
      <c r="E42" s="4" t="s">
        <v>20</v>
      </c>
      <c r="F42" s="5" t="s">
        <v>79</v>
      </c>
      <c r="G42" s="4" t="s">
        <v>30</v>
      </c>
      <c r="H42" s="7" t="n">
        <v>0.005</v>
      </c>
      <c r="I42" s="6" t="s">
        <v>23</v>
      </c>
      <c r="J42" s="8" t="n">
        <f aca="false">IF(H42="","",H42*IF(I42="USD",Parametri!$B$3,IF(I42="GBP",Parametri!$B$4,IF(I42="CNY",Parametri!$B$5,1))))</f>
        <v>0.0043</v>
      </c>
      <c r="K42" s="4" t="n">
        <f aca="false">C42*Parametri!$B$7</f>
        <v>2</v>
      </c>
      <c r="L42" s="9" t="n">
        <f aca="false">IF(J42="","",J42*K42)</f>
        <v>0.0086</v>
      </c>
      <c r="M42" s="11" t="s">
        <v>31</v>
      </c>
      <c r="N42" s="4"/>
      <c r="O42" s="5"/>
    </row>
    <row r="43" customFormat="false" ht="15" hidden="false" customHeight="false" outlineLevel="0" collapsed="false">
      <c r="A43" s="4" t="s">
        <v>145</v>
      </c>
      <c r="B43" s="5" t="s">
        <v>179</v>
      </c>
      <c r="C43" s="6" t="n">
        <v>2</v>
      </c>
      <c r="D43" s="4" t="s">
        <v>180</v>
      </c>
      <c r="E43" s="4" t="s">
        <v>20</v>
      </c>
      <c r="F43" s="5" t="s">
        <v>181</v>
      </c>
      <c r="G43" s="4" t="s">
        <v>30</v>
      </c>
      <c r="H43" s="7" t="n">
        <v>0.25</v>
      </c>
      <c r="I43" s="6" t="s">
        <v>23</v>
      </c>
      <c r="J43" s="8" t="n">
        <f aca="false">IF(H43="","",H43*IF(I43="USD",Parametri!$B$3,IF(I43="GBP",Parametri!$B$4,IF(I43="CNY",Parametri!$B$5,1))))</f>
        <v>0.215</v>
      </c>
      <c r="K43" s="4" t="n">
        <f aca="false">C43*Parametri!$B$7</f>
        <v>2</v>
      </c>
      <c r="L43" s="9" t="n">
        <f aca="false">IF(J43="","",J43*K43)</f>
        <v>0.43</v>
      </c>
      <c r="M43" s="11" t="s">
        <v>31</v>
      </c>
      <c r="N43" s="4"/>
      <c r="O43" s="5"/>
    </row>
    <row r="44" customFormat="false" ht="15" hidden="false" customHeight="false" outlineLevel="0" collapsed="false">
      <c r="A44" s="4" t="s">
        <v>145</v>
      </c>
      <c r="B44" s="5" t="s">
        <v>182</v>
      </c>
      <c r="C44" s="6" t="n">
        <v>1</v>
      </c>
      <c r="D44" s="4" t="s">
        <v>183</v>
      </c>
      <c r="E44" s="4" t="s">
        <v>20</v>
      </c>
      <c r="F44" s="5" t="s">
        <v>79</v>
      </c>
      <c r="G44" s="4" t="s">
        <v>30</v>
      </c>
      <c r="H44" s="7" t="n">
        <v>0.005</v>
      </c>
      <c r="I44" s="6" t="s">
        <v>23</v>
      </c>
      <c r="J44" s="8" t="n">
        <f aca="false">IF(H44="","",H44*IF(I44="USD",Parametri!$B$3,IF(I44="GBP",Parametri!$B$4,IF(I44="CNY",Parametri!$B$5,1))))</f>
        <v>0.0043</v>
      </c>
      <c r="K44" s="4" t="n">
        <f aca="false">C44*Parametri!$B$7</f>
        <v>1</v>
      </c>
      <c r="L44" s="9" t="n">
        <f aca="false">IF(J44="","",J44*K44)</f>
        <v>0.0043</v>
      </c>
      <c r="M44" s="11" t="s">
        <v>31</v>
      </c>
      <c r="N44" s="4"/>
      <c r="O44" s="5"/>
    </row>
    <row r="45" customFormat="false" ht="15" hidden="false" customHeight="false" outlineLevel="0" collapsed="false">
      <c r="A45" s="4" t="s">
        <v>184</v>
      </c>
      <c r="B45" s="5" t="s">
        <v>185</v>
      </c>
      <c r="C45" s="6" t="n">
        <v>1</v>
      </c>
      <c r="D45" s="4" t="s">
        <v>186</v>
      </c>
      <c r="E45" s="4" t="s">
        <v>143</v>
      </c>
      <c r="F45" s="5" t="s">
        <v>187</v>
      </c>
      <c r="G45" s="4"/>
      <c r="H45" s="7" t="n">
        <v>0.1</v>
      </c>
      <c r="I45" s="6" t="s">
        <v>23</v>
      </c>
      <c r="J45" s="8" t="n">
        <f aca="false">IF(H45="","",H45*IF(I45="USD",Parametri!$B$3,IF(I45="GBP",Parametri!$B$4,IF(I45="CNY",Parametri!$B$5,1))))</f>
        <v>0.086</v>
      </c>
      <c r="K45" s="4" t="n">
        <f aca="false">C45*Parametri!$B$7</f>
        <v>1</v>
      </c>
      <c r="L45" s="9" t="n">
        <f aca="false">IF(J45="","",J45*K45)</f>
        <v>0.086</v>
      </c>
      <c r="M45" s="11" t="s">
        <v>31</v>
      </c>
      <c r="N45" s="4"/>
      <c r="O45" s="5"/>
    </row>
    <row r="46" customFormat="false" ht="15" hidden="false" customHeight="false" outlineLevel="0" collapsed="false">
      <c r="A46" s="4" t="s">
        <v>184</v>
      </c>
      <c r="B46" s="5" t="s">
        <v>188</v>
      </c>
      <c r="C46" s="6" t="n">
        <v>1</v>
      </c>
      <c r="D46" s="4" t="s">
        <v>189</v>
      </c>
      <c r="E46" s="4" t="s">
        <v>143</v>
      </c>
      <c r="F46" s="5" t="s">
        <v>190</v>
      </c>
      <c r="G46" s="4"/>
      <c r="H46" s="7" t="n">
        <v>0.1</v>
      </c>
      <c r="I46" s="6" t="s">
        <v>23</v>
      </c>
      <c r="J46" s="8" t="n">
        <f aca="false">IF(H46="","",H46*IF(I46="USD",Parametri!$B$3,IF(I46="GBP",Parametri!$B$4,IF(I46="CNY",Parametri!$B$5,1))))</f>
        <v>0.086</v>
      </c>
      <c r="K46" s="4" t="n">
        <f aca="false">C46*Parametri!$B$7</f>
        <v>1</v>
      </c>
      <c r="L46" s="9" t="n">
        <f aca="false">IF(J46="","",J46*K46)</f>
        <v>0.086</v>
      </c>
      <c r="M46" s="11" t="s">
        <v>31</v>
      </c>
      <c r="N46" s="4"/>
      <c r="O46" s="5"/>
    </row>
    <row r="47" customFormat="false" ht="15" hidden="false" customHeight="false" outlineLevel="0" collapsed="false">
      <c r="A47" s="4" t="s">
        <v>184</v>
      </c>
      <c r="B47" s="5" t="s">
        <v>191</v>
      </c>
      <c r="C47" s="6" t="n">
        <v>2</v>
      </c>
      <c r="D47" s="4" t="s">
        <v>192</v>
      </c>
      <c r="E47" s="4" t="s">
        <v>143</v>
      </c>
      <c r="F47" s="5" t="s">
        <v>193</v>
      </c>
      <c r="G47" s="4" t="s">
        <v>194</v>
      </c>
      <c r="H47" s="7" t="n">
        <v>2.39</v>
      </c>
      <c r="I47" s="6" t="s">
        <v>23</v>
      </c>
      <c r="J47" s="8" t="n">
        <f aca="false">IF(H47="","",H47*IF(I47="USD",Parametri!$B$3,IF(I47="GBP",Parametri!$B$4,IF(I47="CNY",Parametri!$B$5,1))))</f>
        <v>2.0554</v>
      </c>
      <c r="K47" s="4" t="n">
        <f aca="false">C47*Parametri!$B$7</f>
        <v>2</v>
      </c>
      <c r="L47" s="9" t="n">
        <f aca="false">IF(J47="","",J47*K47)</f>
        <v>4.1108</v>
      </c>
      <c r="M47" s="4" t="s">
        <v>24</v>
      </c>
      <c r="N47" s="10" t="s">
        <v>195</v>
      </c>
      <c r="O47" s="5"/>
    </row>
    <row r="48" customFormat="false" ht="26.85" hidden="false" customHeight="false" outlineLevel="0" collapsed="false">
      <c r="A48" s="4" t="s">
        <v>184</v>
      </c>
      <c r="B48" s="5" t="s">
        <v>196</v>
      </c>
      <c r="C48" s="6" t="n">
        <v>4</v>
      </c>
      <c r="D48" s="4" t="s">
        <v>197</v>
      </c>
      <c r="E48" s="4" t="s">
        <v>198</v>
      </c>
      <c r="F48" s="5" t="s">
        <v>199</v>
      </c>
      <c r="G48" s="4" t="s">
        <v>138</v>
      </c>
      <c r="H48" s="7" t="n">
        <v>4.54</v>
      </c>
      <c r="I48" s="6" t="s">
        <v>23</v>
      </c>
      <c r="J48" s="8" t="n">
        <f aca="false">IF(H48="","",H48*IF(I48="USD",Parametri!$B$3,IF(I48="GBP",Parametri!$B$4,IF(I48="CNY",Parametri!$B$5,1))))</f>
        <v>3.9044</v>
      </c>
      <c r="K48" s="4" t="n">
        <f aca="false">C48*Parametri!$B$7</f>
        <v>4</v>
      </c>
      <c r="L48" s="9" t="n">
        <f aca="false">IF(J48="","",J48*K48)</f>
        <v>15.6176</v>
      </c>
      <c r="M48" s="4" t="s">
        <v>24</v>
      </c>
      <c r="N48" s="10" t="s">
        <v>200</v>
      </c>
      <c r="O48" s="5" t="s">
        <v>201</v>
      </c>
    </row>
    <row r="49" customFormat="false" ht="15" hidden="false" customHeight="false" outlineLevel="0" collapsed="false">
      <c r="A49" s="4" t="s">
        <v>184</v>
      </c>
      <c r="B49" s="5" t="s">
        <v>202</v>
      </c>
      <c r="C49" s="6" t="n">
        <v>1</v>
      </c>
      <c r="D49" s="4" t="s">
        <v>203</v>
      </c>
      <c r="E49" s="4" t="s">
        <v>204</v>
      </c>
      <c r="F49" s="5" t="s">
        <v>205</v>
      </c>
      <c r="G49" s="4" t="s">
        <v>194</v>
      </c>
      <c r="H49" s="7" t="n">
        <v>14.75</v>
      </c>
      <c r="I49" s="6" t="s">
        <v>23</v>
      </c>
      <c r="J49" s="8" t="n">
        <f aca="false">IF(H49="","",H49*IF(I49="USD",Parametri!$B$3,IF(I49="GBP",Parametri!$B$4,IF(I49="CNY",Parametri!$B$5,1))))</f>
        <v>12.685</v>
      </c>
      <c r="K49" s="4" t="n">
        <f aca="false">C49*Parametri!$B$7</f>
        <v>1</v>
      </c>
      <c r="L49" s="9" t="n">
        <f aca="false">IF(J49="","",J49*K49)</f>
        <v>12.685</v>
      </c>
      <c r="M49" s="4" t="s">
        <v>24</v>
      </c>
      <c r="N49" s="10" t="s">
        <v>206</v>
      </c>
      <c r="O49" s="5" t="s">
        <v>207</v>
      </c>
    </row>
    <row r="50" customFormat="false" ht="15" hidden="false" customHeight="false" outlineLevel="0" collapsed="false">
      <c r="A50" s="4" t="s">
        <v>184</v>
      </c>
      <c r="B50" s="5" t="s">
        <v>208</v>
      </c>
      <c r="C50" s="6" t="n">
        <v>1</v>
      </c>
      <c r="D50" s="4" t="s">
        <v>209</v>
      </c>
      <c r="E50" s="4" t="s">
        <v>143</v>
      </c>
      <c r="F50" s="5" t="s">
        <v>210</v>
      </c>
      <c r="G50" s="4"/>
      <c r="H50" s="7" t="n">
        <v>0.15</v>
      </c>
      <c r="I50" s="6" t="s">
        <v>23</v>
      </c>
      <c r="J50" s="8" t="n">
        <f aca="false">IF(H50="","",H50*IF(I50="USD",Parametri!$B$3,IF(I50="GBP",Parametri!$B$4,IF(I50="CNY",Parametri!$B$5,1))))</f>
        <v>0.129</v>
      </c>
      <c r="K50" s="4" t="n">
        <f aca="false">C50*Parametri!$B$7</f>
        <v>1</v>
      </c>
      <c r="L50" s="9" t="n">
        <f aca="false">IF(J50="","",J50*K50)</f>
        <v>0.129</v>
      </c>
      <c r="M50" s="11" t="s">
        <v>31</v>
      </c>
      <c r="N50" s="4"/>
      <c r="O50" s="5"/>
    </row>
    <row r="51" customFormat="false" ht="15" hidden="false" customHeight="false" outlineLevel="0" collapsed="false">
      <c r="A51" s="4" t="s">
        <v>184</v>
      </c>
      <c r="B51" s="5" t="s">
        <v>211</v>
      </c>
      <c r="C51" s="6" t="n">
        <v>1</v>
      </c>
      <c r="D51" s="4" t="s">
        <v>212</v>
      </c>
      <c r="E51" s="4" t="s">
        <v>213</v>
      </c>
      <c r="F51" s="5" t="s">
        <v>214</v>
      </c>
      <c r="G51" s="4" t="s">
        <v>194</v>
      </c>
      <c r="H51" s="7" t="n">
        <v>0.71</v>
      </c>
      <c r="I51" s="6" t="s">
        <v>23</v>
      </c>
      <c r="J51" s="8" t="n">
        <f aca="false">IF(H51="","",H51*IF(I51="USD",Parametri!$B$3,IF(I51="GBP",Parametri!$B$4,IF(I51="CNY",Parametri!$B$5,1))))</f>
        <v>0.6106</v>
      </c>
      <c r="K51" s="4" t="n">
        <f aca="false">C51*Parametri!$B$7</f>
        <v>1</v>
      </c>
      <c r="L51" s="9" t="n">
        <f aca="false">IF(J51="","",J51*K51)</f>
        <v>0.6106</v>
      </c>
      <c r="M51" s="4" t="s">
        <v>24</v>
      </c>
      <c r="N51" s="10" t="s">
        <v>215</v>
      </c>
      <c r="O51" s="5"/>
    </row>
    <row r="52" customFormat="false" ht="26.85" hidden="false" customHeight="false" outlineLevel="0" collapsed="false">
      <c r="A52" s="4" t="s">
        <v>216</v>
      </c>
      <c r="B52" s="5" t="s">
        <v>216</v>
      </c>
      <c r="C52" s="6" t="n">
        <v>1</v>
      </c>
      <c r="D52" s="4" t="s">
        <v>217</v>
      </c>
      <c r="E52" s="4" t="s">
        <v>218</v>
      </c>
      <c r="F52" s="5" t="s">
        <v>219</v>
      </c>
      <c r="G52" s="4" t="s">
        <v>220</v>
      </c>
      <c r="H52" s="7"/>
      <c r="I52" s="6" t="s">
        <v>23</v>
      </c>
      <c r="J52" s="8" t="str">
        <f aca="false">IF(H52="","",H52*IF(I52="USD",Parametri!$B$3,IF(I52="GBP",Parametri!$B$4,IF(I52="CNY",Parametri!$B$5,1))))</f>
        <v/>
      </c>
      <c r="K52" s="4" t="n">
        <f aca="false">C52*Parametri!$B$7</f>
        <v>1</v>
      </c>
      <c r="L52" s="9" t="str">
        <f aca="false">IF(J52="","",J52*K52)</f>
        <v/>
      </c>
      <c r="M52" s="12" t="s">
        <v>94</v>
      </c>
      <c r="N52" s="10" t="s">
        <v>221</v>
      </c>
      <c r="O52" s="5" t="s">
        <v>222</v>
      </c>
    </row>
    <row r="54" customFormat="false" ht="15" hidden="false" customHeight="false" outlineLevel="0" collapsed="false">
      <c r="K54" s="13" t="s">
        <v>223</v>
      </c>
      <c r="L54" s="14" t="n">
        <f aca="false">SUM(L5:L52)</f>
        <v>124.4746268</v>
      </c>
    </row>
    <row r="55" customFormat="false" ht="15" hidden="false" customHeight="false" outlineLevel="0" collapsed="false">
      <c r="K55" s="15" t="s">
        <v>224</v>
      </c>
      <c r="L55" s="16" t="n">
        <f aca="false">SUMIF(M5:M52,"verificato",L5:L52)</f>
        <v>115.9515268</v>
      </c>
    </row>
    <row r="56" customFormat="false" ht="15" hidden="false" customHeight="false" outlineLevel="0" collapsed="false">
      <c r="K56" s="15" t="s">
        <v>225</v>
      </c>
      <c r="L56" s="16" t="n">
        <f aca="false">SUMIF(M5:M52,"stima",L5:L52)</f>
        <v>8.5231</v>
      </c>
    </row>
    <row r="57" customFormat="false" ht="15" hidden="false" customHeight="false" outlineLevel="0" collapsed="false">
      <c r="K57" s="15" t="s">
        <v>226</v>
      </c>
      <c r="L57" s="15" t="n">
        <f aca="false">COUNTIF(M5:M52,"da quotare")</f>
        <v>2</v>
      </c>
    </row>
    <row r="59" customFormat="false" ht="15" hidden="false" customHeight="false" outlineLevel="0" collapsed="false">
      <c r="K59" s="13" t="s">
        <v>227</v>
      </c>
    </row>
    <row r="60" customFormat="false" ht="15" hidden="false" customHeight="false" outlineLevel="0" collapsed="false">
      <c r="K60" s="15" t="s">
        <v>17</v>
      </c>
      <c r="L60" s="16" t="n">
        <f aca="false">SUMIF(A5:A52,"Condensatori",L5:L52)</f>
        <v>0.8365048</v>
      </c>
    </row>
    <row r="61" customFormat="false" ht="15" hidden="false" customHeight="false" outlineLevel="0" collapsed="false">
      <c r="K61" s="15" t="s">
        <v>59</v>
      </c>
      <c r="L61" s="16" t="n">
        <f aca="false">SUMIF(A5:A52,"Diodi",L5:L52)</f>
        <v>3.349872</v>
      </c>
    </row>
    <row r="62" customFormat="false" ht="15" hidden="false" customHeight="false" outlineLevel="0" collapsed="false">
      <c r="K62" s="15" t="s">
        <v>80</v>
      </c>
      <c r="L62" s="16" t="n">
        <f aca="false">SUMIF(A5:A52,"Protezioni",L5:L52)</f>
        <v>0.39925</v>
      </c>
    </row>
    <row r="63" customFormat="false" ht="15" hidden="false" customHeight="false" outlineLevel="0" collapsed="false">
      <c r="K63" s="15" t="s">
        <v>100</v>
      </c>
      <c r="L63" s="16" t="n">
        <f aca="false">SUMIF(A5:A52,"Connettori",L5:L52)</f>
        <v>3.634</v>
      </c>
    </row>
    <row r="64" customFormat="false" ht="15" hidden="false" customHeight="false" outlineLevel="0" collapsed="false">
      <c r="K64" s="15" t="s">
        <v>120</v>
      </c>
      <c r="L64" s="16" t="n">
        <f aca="false">SUMIF(A5:A52,"Modulo WiFi",L5:L52)</f>
        <v>7.44</v>
      </c>
    </row>
    <row r="65" customFormat="false" ht="15" hidden="false" customHeight="false" outlineLevel="0" collapsed="false">
      <c r="K65" s="15" t="s">
        <v>128</v>
      </c>
      <c r="L65" s="16" t="n">
        <f aca="false">SUMIF(A5:A52,"Magnetici",L5:L52)</f>
        <v>0.258</v>
      </c>
    </row>
    <row r="66" customFormat="false" ht="15" hidden="false" customHeight="false" outlineLevel="0" collapsed="false">
      <c r="K66" s="15" t="s">
        <v>133</v>
      </c>
      <c r="L66" s="16" t="n">
        <f aca="false">SUMIF(A5:A52,"Transistor",L5:L52)</f>
        <v>61.5416</v>
      </c>
    </row>
    <row r="67" customFormat="false" ht="15" hidden="false" customHeight="false" outlineLevel="0" collapsed="false">
      <c r="K67" s="15" t="s">
        <v>145</v>
      </c>
      <c r="L67" s="16" t="n">
        <f aca="false">SUMIF(A5:A52,"Resistori",L5:L52)</f>
        <v>13.6904</v>
      </c>
    </row>
    <row r="68" customFormat="false" ht="15" hidden="false" customHeight="false" outlineLevel="0" collapsed="false">
      <c r="K68" s="15" t="s">
        <v>184</v>
      </c>
      <c r="L68" s="16" t="n">
        <f aca="false">SUMIF(A5:A52,"Integrati",L5:L52)</f>
        <v>33.325</v>
      </c>
    </row>
    <row r="69" customFormat="false" ht="15" hidden="false" customHeight="false" outlineLevel="0" collapsed="false">
      <c r="K69" s="15" t="s">
        <v>216</v>
      </c>
      <c r="L69" s="16" t="n">
        <f aca="false">SUMIF(A5:A52,"PCB",L5:L52)</f>
        <v>0</v>
      </c>
    </row>
    <row r="71" customFormat="false" ht="15" hidden="false" customHeight="false" outlineLevel="0" collapsed="false">
      <c r="K71" s="15" t="s">
        <v>228</v>
      </c>
      <c r="L71" s="17" t="n">
        <f aca="false">Meccanica!L13</f>
        <v>22</v>
      </c>
    </row>
    <row r="72" customFormat="false" ht="15" hidden="false" customHeight="false" outlineLevel="0" collapsed="false">
      <c r="K72" s="13" t="s">
        <v>229</v>
      </c>
      <c r="L72" s="14" t="n">
        <f aca="false">L54+L71</f>
        <v>146.4746268</v>
      </c>
    </row>
  </sheetData>
  <autoFilter ref="A4:O52"/>
  <hyperlinks>
    <hyperlink ref="N5" r:id="rId1" display="https://store.comet.bg/en/Catalogue/Product/37095"/>
    <hyperlink ref="N7" r:id="rId2" display="https://www.lcsc.com/product-detail/C93194.html"/>
    <hyperlink ref="N10" r:id="rId3" display="https://www.lcsc.com/product-detail/C93194.html"/>
    <hyperlink ref="N11" r:id="rId4" display="https://www.lcsc.com/category/1142.html"/>
    <hyperlink ref="N14" r:id="rId5" display="https://www.lcsc.com/product-image/C145332.html"/>
    <hyperlink ref="N19" r:id="rId6" display="https://uk.rs-online.com/web/p/car-fuses/7874154"/>
    <hyperlink ref="N27" r:id="rId7" display="https://www.tinytronics.nl/shop/nl/communicatie/wi-fi/wemos-lolin-d1-mini-pro-v2-esp8266-ch340c"/>
    <hyperlink ref="N29" r:id="rId8" display="https://www.findchips.com/search/H75N1"/>
    <hyperlink ref="N41" r:id="rId9" display="https://www.element14.cn/en-CN/vishay/wsk2512r0200fea/current-sense-res-0r02-1-1-w-2512/dp/1107431"/>
    <hyperlink ref="N47" r:id="rId10" display="https://www.flux.ai/lcsc/opa2196idr.md"/>
    <hyperlink ref="N48" r:id="rId11" display="https://www.digikey.com/en/products/detail/texas-instruments/INA228AIDGST/13691047"/>
    <hyperlink ref="N49" r:id="rId12" display="https://www.electronicsdatasheets.com/manufacturers/texas-instruments/parts/dac8565"/>
    <hyperlink ref="N51" r:id="rId13" display="https://www.oemstrade.com/search/ap63205wu-7"/>
    <hyperlink ref="N52" r:id="rId14" display="https://jlcpcb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36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230</v>
      </c>
    </row>
    <row r="3" customFormat="false" ht="26.85" hidden="false" customHeight="false" outlineLevel="0" collapsed="false">
      <c r="A3" s="18" t="s">
        <v>2</v>
      </c>
      <c r="B3" s="18" t="s">
        <v>231</v>
      </c>
      <c r="C3" s="18" t="s">
        <v>4</v>
      </c>
      <c r="D3" s="18" t="s">
        <v>232</v>
      </c>
      <c r="E3" s="18" t="s">
        <v>9</v>
      </c>
      <c r="F3" s="18" t="s">
        <v>10</v>
      </c>
      <c r="G3" s="18" t="s">
        <v>14</v>
      </c>
      <c r="H3" s="18" t="s">
        <v>15</v>
      </c>
      <c r="I3" s="18" t="s">
        <v>16</v>
      </c>
      <c r="J3" s="18" t="s">
        <v>11</v>
      </c>
      <c r="K3" s="18" t="s">
        <v>12</v>
      </c>
      <c r="L3" s="18" t="s">
        <v>13</v>
      </c>
    </row>
    <row r="4" customFormat="false" ht="26.85" hidden="false" customHeight="false" outlineLevel="0" collapsed="false">
      <c r="A4" s="4" t="s">
        <v>233</v>
      </c>
      <c r="B4" s="5" t="s">
        <v>234</v>
      </c>
      <c r="C4" s="6" t="n">
        <v>1</v>
      </c>
      <c r="D4" s="4"/>
      <c r="E4" s="6"/>
      <c r="F4" s="6" t="s">
        <v>93</v>
      </c>
      <c r="G4" s="12" t="s">
        <v>94</v>
      </c>
      <c r="H4" s="4"/>
      <c r="I4" s="5" t="s">
        <v>235</v>
      </c>
      <c r="J4" s="19" t="str">
        <f aca="false">IF(E4="","",E4*IF(F4="USD",Parametri!$B$3,IF(F4="GBP",Parametri!$B$4,IF(F4="CNY",Parametri!$B$5,1))))</f>
        <v/>
      </c>
      <c r="K4" s="20" t="n">
        <f aca="false">C4*Parametri!$B$7</f>
        <v>1</v>
      </c>
      <c r="L4" s="19" t="str">
        <f aca="false">IF(J4="","",J4*K4)</f>
        <v/>
      </c>
    </row>
    <row r="5" customFormat="false" ht="26.85" hidden="false" customHeight="false" outlineLevel="0" collapsed="false">
      <c r="A5" s="4" t="s">
        <v>233</v>
      </c>
      <c r="B5" s="5" t="s">
        <v>236</v>
      </c>
      <c r="C5" s="6" t="n">
        <v>1</v>
      </c>
      <c r="D5" s="4"/>
      <c r="E5" s="6"/>
      <c r="F5" s="6" t="s">
        <v>93</v>
      </c>
      <c r="G5" s="12" t="s">
        <v>94</v>
      </c>
      <c r="H5" s="4"/>
      <c r="I5" s="5" t="s">
        <v>237</v>
      </c>
      <c r="J5" s="19" t="str">
        <f aca="false">IF(E5="","",E5*IF(F5="USD",Parametri!$B$3,IF(F5="GBP",Parametri!$B$4,IF(F5="CNY",Parametri!$B$5,1))))</f>
        <v/>
      </c>
      <c r="K5" s="20" t="n">
        <f aca="false">C5*Parametri!$B$7</f>
        <v>1</v>
      </c>
      <c r="L5" s="19" t="str">
        <f aca="false">IF(J5="","",J5*K5)</f>
        <v/>
      </c>
    </row>
    <row r="6" customFormat="false" ht="15" hidden="false" customHeight="false" outlineLevel="0" collapsed="false">
      <c r="A6" s="4" t="s">
        <v>233</v>
      </c>
      <c r="B6" s="5" t="s">
        <v>238</v>
      </c>
      <c r="C6" s="6" t="n">
        <v>1</v>
      </c>
      <c r="D6" s="4"/>
      <c r="E6" s="6"/>
      <c r="F6" s="6" t="s">
        <v>93</v>
      </c>
      <c r="G6" s="12" t="s">
        <v>94</v>
      </c>
      <c r="H6" s="4"/>
      <c r="I6" s="5" t="s">
        <v>239</v>
      </c>
      <c r="J6" s="19" t="str">
        <f aca="false">IF(E6="","",E6*IF(F6="USD",Parametri!$B$3,IF(F6="GBP",Parametri!$B$4,IF(F6="CNY",Parametri!$B$5,1))))</f>
        <v/>
      </c>
      <c r="K6" s="20" t="n">
        <f aca="false">C6*Parametri!$B$7</f>
        <v>1</v>
      </c>
      <c r="L6" s="19" t="str">
        <f aca="false">IF(J6="","",J6*K6)</f>
        <v/>
      </c>
    </row>
    <row r="7" customFormat="false" ht="15" hidden="false" customHeight="false" outlineLevel="0" collapsed="false">
      <c r="A7" s="4" t="s">
        <v>233</v>
      </c>
      <c r="B7" s="5" t="s">
        <v>240</v>
      </c>
      <c r="C7" s="6" t="n">
        <v>2</v>
      </c>
      <c r="D7" s="4"/>
      <c r="E7" s="6" t="n">
        <v>0.5</v>
      </c>
      <c r="F7" s="6" t="s">
        <v>93</v>
      </c>
      <c r="G7" s="11" t="s">
        <v>31</v>
      </c>
      <c r="H7" s="4"/>
      <c r="I7" s="5"/>
      <c r="J7" s="19" t="n">
        <f aca="false">IF(E7="","",E7*IF(F7="USD",Parametri!$B$3,IF(F7="GBP",Parametri!$B$4,IF(F7="CNY",Parametri!$B$5,1))))</f>
        <v>0.5</v>
      </c>
      <c r="K7" s="20" t="n">
        <f aca="false">C7*Parametri!$B$7</f>
        <v>2</v>
      </c>
      <c r="L7" s="19" t="n">
        <f aca="false">IF(J7="","",J7*K7)</f>
        <v>1</v>
      </c>
    </row>
    <row r="8" customFormat="false" ht="15" hidden="false" customHeight="false" outlineLevel="0" collapsed="false">
      <c r="A8" s="4" t="s">
        <v>233</v>
      </c>
      <c r="B8" s="5" t="s">
        <v>241</v>
      </c>
      <c r="C8" s="6" t="n">
        <v>1</v>
      </c>
      <c r="D8" s="4"/>
      <c r="E8" s="6" t="n">
        <v>5</v>
      </c>
      <c r="F8" s="6" t="s">
        <v>93</v>
      </c>
      <c r="G8" s="11" t="s">
        <v>31</v>
      </c>
      <c r="H8" s="4"/>
      <c r="I8" s="5"/>
      <c r="J8" s="19" t="n">
        <f aca="false">IF(E8="","",E8*IF(F8="USD",Parametri!$B$3,IF(F8="GBP",Parametri!$B$4,IF(F8="CNY",Parametri!$B$5,1))))</f>
        <v>5</v>
      </c>
      <c r="K8" s="20" t="n">
        <f aca="false">C8*Parametri!$B$7</f>
        <v>1</v>
      </c>
      <c r="L8" s="19" t="n">
        <f aca="false">IF(J8="","",J8*K8)</f>
        <v>5</v>
      </c>
    </row>
    <row r="9" customFormat="false" ht="15" hidden="false" customHeight="false" outlineLevel="0" collapsed="false">
      <c r="A9" s="4" t="s">
        <v>242</v>
      </c>
      <c r="B9" s="5" t="s">
        <v>243</v>
      </c>
      <c r="C9" s="6" t="n">
        <v>1</v>
      </c>
      <c r="D9" s="4" t="s">
        <v>244</v>
      </c>
      <c r="E9" s="6" t="n">
        <v>3</v>
      </c>
      <c r="F9" s="6" t="s">
        <v>93</v>
      </c>
      <c r="G9" s="11" t="s">
        <v>31</v>
      </c>
      <c r="H9" s="4"/>
      <c r="I9" s="5"/>
      <c r="J9" s="19" t="n">
        <f aca="false">IF(E9="","",E9*IF(F9="USD",Parametri!$B$3,IF(F9="GBP",Parametri!$B$4,IF(F9="CNY",Parametri!$B$5,1))))</f>
        <v>3</v>
      </c>
      <c r="K9" s="20" t="n">
        <f aca="false">C9*Parametri!$B$7</f>
        <v>1</v>
      </c>
      <c r="L9" s="19" t="n">
        <f aca="false">IF(J9="","",J9*K9)</f>
        <v>3</v>
      </c>
    </row>
    <row r="10" customFormat="false" ht="15" hidden="false" customHeight="false" outlineLevel="0" collapsed="false">
      <c r="A10" s="4" t="s">
        <v>245</v>
      </c>
      <c r="B10" s="5" t="s">
        <v>246</v>
      </c>
      <c r="C10" s="6" t="n">
        <v>1</v>
      </c>
      <c r="D10" s="4"/>
      <c r="E10" s="6" t="n">
        <v>10</v>
      </c>
      <c r="F10" s="6" t="s">
        <v>93</v>
      </c>
      <c r="G10" s="11" t="s">
        <v>31</v>
      </c>
      <c r="H10" s="4"/>
      <c r="I10" s="5"/>
      <c r="J10" s="19" t="n">
        <f aca="false">IF(E10="","",E10*IF(F10="USD",Parametri!$B$3,IF(F10="GBP",Parametri!$B$4,IF(F10="CNY",Parametri!$B$5,1))))</f>
        <v>10</v>
      </c>
      <c r="K10" s="20" t="n">
        <f aca="false">C10*Parametri!$B$7</f>
        <v>1</v>
      </c>
      <c r="L10" s="19" t="n">
        <f aca="false">IF(J10="","",J10*K10)</f>
        <v>10</v>
      </c>
    </row>
    <row r="11" customFormat="false" ht="26.85" hidden="false" customHeight="false" outlineLevel="0" collapsed="false">
      <c r="A11" s="4" t="s">
        <v>120</v>
      </c>
      <c r="B11" s="5" t="s">
        <v>247</v>
      </c>
      <c r="C11" s="6" t="n">
        <v>1</v>
      </c>
      <c r="D11" s="4"/>
      <c r="E11" s="6" t="n">
        <v>3</v>
      </c>
      <c r="F11" s="6" t="s">
        <v>93</v>
      </c>
      <c r="G11" s="11" t="s">
        <v>31</v>
      </c>
      <c r="H11" s="4"/>
      <c r="I11" s="5"/>
      <c r="J11" s="19" t="n">
        <f aca="false">IF(E11="","",E11*IF(F11="USD",Parametri!$B$3,IF(F11="GBP",Parametri!$B$4,IF(F11="CNY",Parametri!$B$5,1))))</f>
        <v>3</v>
      </c>
      <c r="K11" s="20" t="n">
        <f aca="false">C11*Parametri!$B$7</f>
        <v>1</v>
      </c>
      <c r="L11" s="19" t="n">
        <f aca="false">IF(J11="","",J11*K11)</f>
        <v>3</v>
      </c>
    </row>
    <row r="13" customFormat="false" ht="15" hidden="false" customHeight="false" outlineLevel="0" collapsed="false">
      <c r="K13" s="13" t="s">
        <v>228</v>
      </c>
      <c r="L13" s="14" t="n">
        <f aca="false">SUM(L4:L11)</f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248</v>
      </c>
    </row>
    <row r="3" customFormat="false" ht="15" hidden="false" customHeight="false" outlineLevel="0" collapsed="false">
      <c r="A3" s="15" t="s">
        <v>249</v>
      </c>
      <c r="B3" s="21" t="n">
        <v>0.86</v>
      </c>
      <c r="C3" s="2" t="s">
        <v>250</v>
      </c>
    </row>
    <row r="4" customFormat="false" ht="15" hidden="false" customHeight="false" outlineLevel="0" collapsed="false">
      <c r="A4" s="15" t="s">
        <v>251</v>
      </c>
      <c r="B4" s="21" t="n">
        <v>1.15</v>
      </c>
      <c r="C4" s="2" t="s">
        <v>252</v>
      </c>
    </row>
    <row r="5" customFormat="false" ht="15" hidden="false" customHeight="false" outlineLevel="0" collapsed="false">
      <c r="A5" s="15" t="s">
        <v>253</v>
      </c>
      <c r="B5" s="21" t="n">
        <v>0.12</v>
      </c>
      <c r="C5" s="2" t="s">
        <v>254</v>
      </c>
    </row>
    <row r="6" customFormat="false" ht="15" hidden="false" customHeight="false" outlineLevel="0" collapsed="false">
      <c r="A6" s="15"/>
      <c r="C6" s="2"/>
    </row>
    <row r="7" customFormat="false" ht="15" hidden="false" customHeight="false" outlineLevel="0" collapsed="false">
      <c r="A7" s="15" t="s">
        <v>255</v>
      </c>
      <c r="B7" s="22" t="n">
        <v>1</v>
      </c>
      <c r="C7" s="2" t="s">
        <v>256</v>
      </c>
    </row>
    <row r="10" customFormat="false" ht="15" hidden="false" customHeight="true" outlineLevel="0" collapsed="false">
      <c r="A10" s="23" t="s">
        <v>16</v>
      </c>
      <c r="B10" s="23"/>
      <c r="C10" s="23"/>
    </row>
    <row r="11" customFormat="false" ht="31.5" hidden="false" customHeight="true" outlineLevel="0" collapsed="false">
      <c r="A11" s="24" t="s">
        <v>257</v>
      </c>
      <c r="B11" s="24"/>
      <c r="C11" s="24"/>
    </row>
    <row r="12" customFormat="false" ht="31.5" hidden="false" customHeight="true" outlineLevel="0" collapsed="false">
      <c r="A12" s="24" t="s">
        <v>258</v>
      </c>
      <c r="B12" s="24"/>
      <c r="C12" s="24"/>
    </row>
    <row r="13" customFormat="false" ht="31.5" hidden="false" customHeight="true" outlineLevel="0" collapsed="false">
      <c r="A13" s="24" t="s">
        <v>259</v>
      </c>
      <c r="B13" s="24"/>
      <c r="C13" s="24"/>
    </row>
    <row r="14" customFormat="false" ht="31.5" hidden="false" customHeight="true" outlineLevel="0" collapsed="false">
      <c r="A14" s="24" t="s">
        <v>260</v>
      </c>
      <c r="B14" s="24"/>
      <c r="C14" s="24"/>
    </row>
    <row r="15" customFormat="false" ht="31.5" hidden="false" customHeight="true" outlineLevel="0" collapsed="false">
      <c r="A15" s="24" t="s">
        <v>261</v>
      </c>
      <c r="B15" s="24"/>
      <c r="C15" s="24"/>
    </row>
    <row r="16" customFormat="false" ht="31.5" hidden="false" customHeight="true" outlineLevel="0" collapsed="false">
      <c r="A16" s="24" t="s">
        <v>262</v>
      </c>
      <c r="B16" s="24"/>
      <c r="C16" s="24"/>
    </row>
    <row r="17" customFormat="false" ht="31.5" hidden="false" customHeight="true" outlineLevel="0" collapsed="false">
      <c r="A17" s="24" t="s">
        <v>263</v>
      </c>
      <c r="B17" s="24"/>
      <c r="C17" s="24"/>
    </row>
    <row r="18" customFormat="false" ht="31.5" hidden="false" customHeight="true" outlineLevel="0" collapsed="false">
      <c r="A18" s="24" t="s">
        <v>264</v>
      </c>
      <c r="B18" s="24"/>
      <c r="C18" s="24"/>
    </row>
    <row r="19" customFormat="false" ht="31.5" hidden="false" customHeight="true" outlineLevel="0" collapsed="false">
      <c r="A19" s="24" t="s">
        <v>265</v>
      </c>
      <c r="B19" s="24"/>
      <c r="C19" s="24"/>
    </row>
    <row r="20" customFormat="false" ht="31.5" hidden="false" customHeight="true" outlineLevel="0" collapsed="false">
      <c r="A20" s="24" t="s">
        <v>266</v>
      </c>
      <c r="B20" s="24"/>
      <c r="C20" s="24"/>
    </row>
    <row r="21" customFormat="false" ht="31.5" hidden="false" customHeight="true" outlineLevel="0" collapsed="false">
      <c r="A21" s="24" t="s">
        <v>267</v>
      </c>
      <c r="B21" s="24"/>
      <c r="C21" s="24"/>
    </row>
  </sheetData>
  <mergeCells count="12"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2026-10-25T20:28:13Z</dcterms:created>
  <dc:creator>openpyxl</dc:creator>
  <dc:description/>
  <dc:language>en-US</dc:language>
  <cp:lastModifiedBy/>
  <dcterms:modified xsi:type="dcterms:W3CDTF">2026-10-25T20:28:13Z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